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Saksham\OneDrive\Desktop\internship\"/>
    </mc:Choice>
  </mc:AlternateContent>
  <xr:revisionPtr revIDLastSave="0" documentId="8_{74549289-1E61-4711-AA58-F428D571527A}" xr6:coauthVersionLast="47" xr6:coauthVersionMax="47" xr10:uidLastSave="{00000000-0000-0000-0000-000000000000}"/>
  <bookViews>
    <workbookView xWindow="-108" yWindow="-108" windowWidth="23256" windowHeight="12456" tabRatio="798" xr2:uid="{00000000-000D-0000-FFFF-FFFF00000000}"/>
  </bookViews>
  <sheets>
    <sheet name="Revision" sheetId="1" r:id="rId1"/>
    <sheet name="Communication Sequence" sheetId="37" r:id="rId2"/>
    <sheet name="IVRF Engineering Frame" sheetId="4" r:id="rId3"/>
    <sheet name="IVRF User Frame" sheetId="3" r:id="rId4"/>
    <sheet name="IVRF ODU Parameters" sheetId="5" r:id="rId5"/>
    <sheet name="IVRF ODU Parameters 147 bytes" sheetId="38" r:id="rId6"/>
    <sheet name="IDU Parameters" sheetId="6" r:id="rId7"/>
    <sheet name="IVRF Configuration Download" sheetId="7" r:id="rId8"/>
    <sheet name="IVRF Configuration Upload" sheetId="8" r:id="rId9"/>
    <sheet name="ODUm-ODUs Communication" sheetId="10" r:id="rId10"/>
    <sheet name="ODU-IDU Communication" sheetId="11" r:id="rId11"/>
    <sheet name="IVRF Slave ODU Parameters" sheetId="12" r:id="rId12"/>
    <sheet name="Slave Config Download" sheetId="13" r:id="rId13"/>
    <sheet name="Slave Config Upload" sheetId="14" r:id="rId14"/>
    <sheet name="Set IDU Parameters" sheetId="15" r:id="rId15"/>
    <sheet name="IDU Config Download" sheetId="16" r:id="rId16"/>
    <sheet name="IDU Config Upload" sheetId="17" r:id="rId17"/>
    <sheet name="Auto Addressing" sheetId="18" r:id="rId18"/>
    <sheet name="Start of BL Session" sheetId="19" r:id="rId19"/>
    <sheet name="Block Programming" sheetId="20" r:id="rId20"/>
    <sheet name="BL Status Polling" sheetId="21" r:id="rId21"/>
    <sheet name="End of BL Session" sheetId="22" r:id="rId22"/>
    <sheet name="DC, Moddbus, DA Config " sheetId="23" r:id="rId23"/>
    <sheet name="Date Time Config in DA" sheetId="24" r:id="rId24"/>
    <sheet name="Data Acq Communication" sheetId="25" r:id="rId25"/>
    <sheet name="IVRF Error Logging" sheetId="26" r:id="rId26"/>
    <sheet name="ODU Config" sheetId="27" r:id="rId27"/>
    <sheet name="DVRF Slave ODU Parameters" sheetId="28" r:id="rId28"/>
    <sheet name="DVRF User Frame" sheetId="29" r:id="rId29"/>
    <sheet name="DVRF Engineering Frame" sheetId="30" r:id="rId30"/>
    <sheet name="DVRF ODU Parameters" sheetId="31" r:id="rId31"/>
    <sheet name="MVRF Engineering Frame" sheetId="32" r:id="rId32"/>
    <sheet name="MVRF ODU Parameters" sheetId="33" r:id="rId33"/>
    <sheet name="MVRF Configuration Download" sheetId="34" r:id="rId34"/>
    <sheet name="MVRF Configuration Upload" sheetId="35" r:id="rId35"/>
    <sheet name="PC-ODU Interaction Algorithm" sheetId="2" r:id="rId36"/>
    <sheet name="Miscellaneous Info" sheetId="36" r:id="rId37"/>
  </sheets>
  <definedNames>
    <definedName name="_xlnm._FilterDatabase" localSheetId="1" hidden="1">'Communication Sequence'!$B$5:$I$29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36" l="1"/>
  <c r="A57" i="36"/>
  <c r="A56" i="36"/>
  <c r="A55" i="36"/>
  <c r="A54" i="36"/>
  <c r="A53" i="36"/>
  <c r="A52" i="36"/>
  <c r="A51" i="36"/>
  <c r="A50" i="36"/>
  <c r="A49" i="36"/>
  <c r="A48" i="36"/>
  <c r="A47" i="36"/>
  <c r="A46" i="36"/>
  <c r="A45" i="36"/>
  <c r="A44" i="36"/>
  <c r="A43" i="36"/>
  <c r="A42" i="36"/>
  <c r="A41" i="36"/>
  <c r="A40" i="36"/>
  <c r="A39" i="36"/>
  <c r="A38" i="36"/>
  <c r="A37" i="36"/>
  <c r="A36" i="36"/>
  <c r="A35" i="36"/>
  <c r="A34" i="36"/>
  <c r="A33" i="36"/>
  <c r="A32" i="36"/>
  <c r="A31" i="36"/>
  <c r="A30" i="36"/>
  <c r="A29" i="36"/>
  <c r="A28" i="36"/>
  <c r="A27" i="36"/>
  <c r="A26" i="36"/>
  <c r="A25" i="36"/>
  <c r="A24" i="36"/>
  <c r="A23" i="36"/>
  <c r="A22" i="36"/>
  <c r="A14" i="36"/>
  <c r="A13" i="36"/>
  <c r="A12" i="36"/>
  <c r="A11" i="36"/>
  <c r="A10" i="36"/>
  <c r="A9" i="36"/>
  <c r="A8" i="36"/>
  <c r="A144" i="35"/>
  <c r="A143" i="35"/>
  <c r="A142" i="35"/>
  <c r="A141" i="35"/>
  <c r="D140" i="35"/>
  <c r="A140" i="35"/>
  <c r="A139" i="35"/>
  <c r="A138" i="35"/>
  <c r="A137" i="35"/>
  <c r="A136" i="35"/>
  <c r="A126" i="35"/>
  <c r="A125" i="35"/>
  <c r="A124" i="35"/>
  <c r="A123" i="35"/>
  <c r="A122" i="35"/>
  <c r="A121" i="35"/>
  <c r="A120" i="35"/>
  <c r="A119" i="35"/>
  <c r="A118" i="35"/>
  <c r="A117" i="35"/>
  <c r="A116" i="35"/>
  <c r="A115" i="35"/>
  <c r="A114" i="35"/>
  <c r="A113" i="35"/>
  <c r="A112" i="35"/>
  <c r="A111" i="35"/>
  <c r="A110" i="35"/>
  <c r="A109" i="35"/>
  <c r="A108" i="35"/>
  <c r="A107" i="35"/>
  <c r="A106" i="35"/>
  <c r="A105" i="35"/>
  <c r="A104" i="35"/>
  <c r="A103" i="35"/>
  <c r="A102" i="35"/>
  <c r="A101" i="35"/>
  <c r="A100" i="35"/>
  <c r="A99" i="35"/>
  <c r="A98" i="35"/>
  <c r="A97" i="35"/>
  <c r="A96" i="35"/>
  <c r="A95" i="35"/>
  <c r="A94" i="35"/>
  <c r="A93" i="35"/>
  <c r="A92" i="35"/>
  <c r="A91" i="35"/>
  <c r="A90" i="35"/>
  <c r="A89" i="35"/>
  <c r="A88" i="35"/>
  <c r="A87" i="35"/>
  <c r="A86" i="35"/>
  <c r="A85" i="35"/>
  <c r="A84" i="35"/>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A45" i="35"/>
  <c r="A44" i="35"/>
  <c r="A43" i="35"/>
  <c r="A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D10" i="35"/>
  <c r="A10" i="35"/>
  <c r="A9" i="35"/>
  <c r="A8" i="35"/>
  <c r="A145" i="34"/>
  <c r="A144" i="34"/>
  <c r="A143" i="34"/>
  <c r="A142" i="34"/>
  <c r="A141" i="34"/>
  <c r="A140" i="34"/>
  <c r="A139" i="34"/>
  <c r="A138" i="34"/>
  <c r="A137" i="34"/>
  <c r="A136" i="34"/>
  <c r="A135" i="34"/>
  <c r="A134" i="34"/>
  <c r="A133" i="34"/>
  <c r="A132" i="34"/>
  <c r="A131" i="34"/>
  <c r="A130" i="34"/>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A27" i="34"/>
  <c r="A16" i="34"/>
  <c r="A15" i="34"/>
  <c r="A14" i="34"/>
  <c r="A13" i="34"/>
  <c r="A12" i="34"/>
  <c r="A11" i="34"/>
  <c r="D10" i="34"/>
  <c r="A10" i="34"/>
  <c r="A9" i="34"/>
  <c r="A8" i="34"/>
  <c r="A128" i="33"/>
  <c r="A127" i="33"/>
  <c r="A126" i="33"/>
  <c r="A125" i="33"/>
  <c r="A124" i="33"/>
  <c r="A123" i="33"/>
  <c r="A122" i="33"/>
  <c r="A121" i="33"/>
  <c r="A120" i="33"/>
  <c r="A119" i="33"/>
  <c r="A118" i="33"/>
  <c r="A117" i="33"/>
  <c r="A116" i="33"/>
  <c r="A115" i="33"/>
  <c r="A114" i="33"/>
  <c r="A113" i="33"/>
  <c r="A112" i="33"/>
  <c r="A111" i="33"/>
  <c r="A110" i="33"/>
  <c r="A109" i="33"/>
  <c r="A108" i="33"/>
  <c r="A107" i="33"/>
  <c r="A106" i="33"/>
  <c r="A105" i="33"/>
  <c r="A104" i="33"/>
  <c r="A103" i="33"/>
  <c r="A102" i="33"/>
  <c r="A101" i="33"/>
  <c r="A100" i="33"/>
  <c r="A99" i="33"/>
  <c r="A98" i="33"/>
  <c r="A97" i="33"/>
  <c r="A96" i="33"/>
  <c r="A95" i="33"/>
  <c r="A94" i="33"/>
  <c r="A93" i="33"/>
  <c r="A92" i="33"/>
  <c r="A91" i="33"/>
  <c r="A90" i="33"/>
  <c r="A89" i="33"/>
  <c r="A88" i="33"/>
  <c r="A87" i="33"/>
  <c r="A86" i="33"/>
  <c r="A85" i="33"/>
  <c r="A84" i="33"/>
  <c r="A83" i="33"/>
  <c r="A82" i="33"/>
  <c r="A81" i="33"/>
  <c r="A80" i="33"/>
  <c r="A79" i="33"/>
  <c r="A78" i="33"/>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D14" i="33"/>
  <c r="A14" i="33"/>
  <c r="A13" i="33"/>
  <c r="A12" i="33"/>
  <c r="A162" i="32"/>
  <c r="A161" i="32"/>
  <c r="A160" i="32"/>
  <c r="A159" i="32"/>
  <c r="A158" i="32"/>
  <c r="A157" i="32"/>
  <c r="A156" i="32"/>
  <c r="A155" i="32"/>
  <c r="A154" i="32"/>
  <c r="A153" i="32"/>
  <c r="A152" i="32"/>
  <c r="E151" i="32"/>
  <c r="A151" i="32"/>
  <c r="E150" i="32"/>
  <c r="A150" i="32"/>
  <c r="E149" i="32"/>
  <c r="A149" i="32"/>
  <c r="E148" i="32"/>
  <c r="A148" i="32"/>
  <c r="E147" i="32"/>
  <c r="A147" i="32"/>
  <c r="E146" i="32"/>
  <c r="A146" i="32"/>
  <c r="E145" i="32"/>
  <c r="A145" i="32"/>
  <c r="E144" i="32"/>
  <c r="A144" i="32"/>
  <c r="E143" i="32"/>
  <c r="A143" i="32"/>
  <c r="E142" i="32"/>
  <c r="A142" i="32"/>
  <c r="E141" i="32"/>
  <c r="A141" i="32"/>
  <c r="E140" i="32"/>
  <c r="A140" i="32"/>
  <c r="E139" i="32"/>
  <c r="A139" i="32"/>
  <c r="E138" i="32"/>
  <c r="A138" i="32"/>
  <c r="E137" i="32"/>
  <c r="A137" i="32"/>
  <c r="E136" i="32"/>
  <c r="A136" i="32"/>
  <c r="E135" i="32"/>
  <c r="A135" i="32"/>
  <c r="E134" i="32"/>
  <c r="A134" i="32"/>
  <c r="E133" i="32"/>
  <c r="A133" i="32"/>
  <c r="E132" i="32"/>
  <c r="A132" i="32"/>
  <c r="E131" i="32"/>
  <c r="A131" i="32"/>
  <c r="E130" i="32"/>
  <c r="A130" i="32"/>
  <c r="E129" i="32"/>
  <c r="A129" i="32"/>
  <c r="E128" i="32"/>
  <c r="A128" i="32"/>
  <c r="E127" i="32"/>
  <c r="A127" i="32"/>
  <c r="E126" i="32"/>
  <c r="A126" i="32"/>
  <c r="E125" i="32"/>
  <c r="A125" i="32"/>
  <c r="E124" i="32"/>
  <c r="A124" i="32"/>
  <c r="E123" i="32"/>
  <c r="A123" i="32"/>
  <c r="E122" i="32"/>
  <c r="A122" i="32"/>
  <c r="E121" i="32"/>
  <c r="A121" i="32"/>
  <c r="E120" i="32"/>
  <c r="A120" i="32"/>
  <c r="E119" i="32"/>
  <c r="A119" i="32"/>
  <c r="E118"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17" i="32"/>
  <c r="A16" i="32"/>
  <c r="A15" i="32"/>
  <c r="A14" i="32"/>
  <c r="A13" i="32"/>
  <c r="A12" i="32"/>
  <c r="A11" i="32"/>
  <c r="D10" i="32"/>
  <c r="A10" i="32"/>
  <c r="A9" i="32"/>
  <c r="A8" i="32"/>
  <c r="A131" i="31"/>
  <c r="A130" i="31"/>
  <c r="A129" i="31"/>
  <c r="A128" i="31"/>
  <c r="A127" i="31"/>
  <c r="A126" i="31"/>
  <c r="A125" i="31"/>
  <c r="A124" i="31"/>
  <c r="A123" i="31"/>
  <c r="A122" i="31"/>
  <c r="A121" i="31"/>
  <c r="A120" i="31"/>
  <c r="A119" i="31"/>
  <c r="A118" i="31"/>
  <c r="A117" i="31"/>
  <c r="A116" i="31"/>
  <c r="A115" i="31"/>
  <c r="A114" i="31"/>
  <c r="A113" i="31"/>
  <c r="A112" i="31"/>
  <c r="A111" i="31"/>
  <c r="A110" i="31"/>
  <c r="A109" i="31"/>
  <c r="A108" i="31"/>
  <c r="A107" i="31"/>
  <c r="A106" i="31"/>
  <c r="A105" i="31"/>
  <c r="A104" i="31"/>
  <c r="A103" i="31"/>
  <c r="A102" i="31"/>
  <c r="A101" i="31"/>
  <c r="A100" i="31"/>
  <c r="A99" i="31"/>
  <c r="A98" i="31"/>
  <c r="A97" i="31"/>
  <c r="A96" i="31"/>
  <c r="A95" i="31"/>
  <c r="A94" i="31"/>
  <c r="A93" i="31"/>
  <c r="A92" i="31"/>
  <c r="A91" i="31"/>
  <c r="A90" i="31"/>
  <c r="A89" i="31"/>
  <c r="A88" i="31"/>
  <c r="A87" i="31"/>
  <c r="A86" i="31"/>
  <c r="A85" i="31"/>
  <c r="A84" i="31"/>
  <c r="A83" i="31"/>
  <c r="A82" i="31"/>
  <c r="A81" i="31"/>
  <c r="A80" i="31"/>
  <c r="A79" i="31"/>
  <c r="A78" i="31"/>
  <c r="A77" i="31"/>
  <c r="A76" i="31"/>
  <c r="A75" i="31"/>
  <c r="A74" i="31"/>
  <c r="A73" i="31"/>
  <c r="A72" i="31"/>
  <c r="A71" i="31"/>
  <c r="A70" i="31"/>
  <c r="A69" i="31"/>
  <c r="A68" i="31"/>
  <c r="A67" i="31"/>
  <c r="A66" i="31"/>
  <c r="A65" i="31"/>
  <c r="A64" i="31"/>
  <c r="A63" i="31"/>
  <c r="A62" i="31"/>
  <c r="A61" i="31"/>
  <c r="A60" i="31"/>
  <c r="A59" i="31"/>
  <c r="A58" i="31"/>
  <c r="A57" i="31"/>
  <c r="A56" i="31"/>
  <c r="A55" i="31"/>
  <c r="A54"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D17" i="31"/>
  <c r="A17" i="31"/>
  <c r="A16" i="31"/>
  <c r="A15" i="31"/>
  <c r="A364" i="30"/>
  <c r="A363" i="30"/>
  <c r="A362" i="30"/>
  <c r="A361" i="30"/>
  <c r="A360" i="30"/>
  <c r="A359" i="30"/>
  <c r="A358" i="30"/>
  <c r="A357" i="30"/>
  <c r="A356" i="30"/>
  <c r="A355" i="30"/>
  <c r="A354" i="30"/>
  <c r="A353" i="30"/>
  <c r="A352" i="30"/>
  <c r="A351" i="30"/>
  <c r="A350" i="30"/>
  <c r="A349" i="30"/>
  <c r="A348" i="30"/>
  <c r="A347" i="30"/>
  <c r="A346" i="30"/>
  <c r="A345" i="30"/>
  <c r="A344" i="30"/>
  <c r="A343" i="30"/>
  <c r="A342" i="30"/>
  <c r="A341" i="30"/>
  <c r="A340" i="30"/>
  <c r="A339" i="30"/>
  <c r="A338" i="30"/>
  <c r="A337" i="30"/>
  <c r="A336" i="30"/>
  <c r="A335" i="30"/>
  <c r="A334" i="30"/>
  <c r="A333" i="30"/>
  <c r="A332" i="30"/>
  <c r="A331" i="30"/>
  <c r="A330" i="30"/>
  <c r="A329" i="30"/>
  <c r="A328" i="30"/>
  <c r="A327" i="30"/>
  <c r="A326" i="30"/>
  <c r="A325" i="30"/>
  <c r="A324" i="30"/>
  <c r="A323" i="30"/>
  <c r="A322" i="30"/>
  <c r="A321" i="30"/>
  <c r="A320" i="30"/>
  <c r="A319" i="30"/>
  <c r="A318" i="30"/>
  <c r="A317" i="30"/>
  <c r="A316" i="30"/>
  <c r="A315" i="30"/>
  <c r="A314" i="30"/>
  <c r="A313" i="30"/>
  <c r="A312" i="30"/>
  <c r="A311" i="30"/>
  <c r="A310" i="30"/>
  <c r="A309" i="30"/>
  <c r="A308" i="30"/>
  <c r="A307" i="30"/>
  <c r="A306" i="30"/>
  <c r="A305" i="30"/>
  <c r="A304" i="30"/>
  <c r="A303" i="30"/>
  <c r="A302" i="30"/>
  <c r="A301" i="30"/>
  <c r="A300" i="30"/>
  <c r="A299" i="30"/>
  <c r="A298" i="30"/>
  <c r="A297" i="30"/>
  <c r="E296" i="30"/>
  <c r="A296" i="30"/>
  <c r="E295" i="30"/>
  <c r="A295" i="30"/>
  <c r="E294" i="30"/>
  <c r="A294" i="30"/>
  <c r="E293" i="30"/>
  <c r="A293" i="30"/>
  <c r="E292" i="30"/>
  <c r="A292" i="30"/>
  <c r="E291" i="30"/>
  <c r="A291" i="30"/>
  <c r="E290" i="30"/>
  <c r="A290" i="30"/>
  <c r="E289" i="30"/>
  <c r="A289" i="30"/>
  <c r="E288" i="30"/>
  <c r="A288" i="30"/>
  <c r="E287" i="30"/>
  <c r="A287" i="30"/>
  <c r="E286" i="30"/>
  <c r="A286" i="30"/>
  <c r="E285" i="30"/>
  <c r="A285" i="30"/>
  <c r="E284" i="30"/>
  <c r="A284" i="30"/>
  <c r="E283" i="30"/>
  <c r="A283" i="30"/>
  <c r="E282" i="30"/>
  <c r="A282" i="30"/>
  <c r="E281" i="30"/>
  <c r="A281" i="30"/>
  <c r="E280" i="30"/>
  <c r="A280" i="30"/>
  <c r="E279" i="30"/>
  <c r="A279" i="30"/>
  <c r="E278" i="30"/>
  <c r="A278" i="30"/>
  <c r="E277" i="30"/>
  <c r="A277" i="30"/>
  <c r="E276" i="30"/>
  <c r="A276" i="30"/>
  <c r="E275" i="30"/>
  <c r="A275" i="30"/>
  <c r="E274" i="30"/>
  <c r="A274" i="30"/>
  <c r="E273" i="30"/>
  <c r="A273" i="30"/>
  <c r="E272" i="30"/>
  <c r="A272" i="30"/>
  <c r="E271" i="30"/>
  <c r="A271" i="30"/>
  <c r="E270" i="30"/>
  <c r="A270" i="30"/>
  <c r="E269" i="30"/>
  <c r="A269" i="30"/>
  <c r="E268" i="30"/>
  <c r="A268" i="30"/>
  <c r="E267" i="30"/>
  <c r="A267" i="30"/>
  <c r="E266" i="30"/>
  <c r="A266" i="30"/>
  <c r="A265" i="30"/>
  <c r="A264" i="30"/>
  <c r="A263" i="30"/>
  <c r="A262" i="30"/>
  <c r="A261" i="30"/>
  <c r="A260" i="30"/>
  <c r="A259" i="30"/>
  <c r="A258" i="30"/>
  <c r="A257" i="30"/>
  <c r="A256" i="30"/>
  <c r="A255" i="30"/>
  <c r="A253" i="30"/>
  <c r="A252" i="30"/>
  <c r="A251" i="30"/>
  <c r="A249" i="30"/>
  <c r="A248" i="30"/>
  <c r="A247" i="30"/>
  <c r="A245" i="30"/>
  <c r="A244" i="30"/>
  <c r="A243" i="30"/>
  <c r="A241" i="30"/>
  <c r="A240" i="30"/>
  <c r="A239" i="30"/>
  <c r="A238" i="30"/>
  <c r="A237" i="30"/>
  <c r="A236" i="30"/>
  <c r="A235" i="30"/>
  <c r="A234" i="30"/>
  <c r="A233" i="30"/>
  <c r="A232" i="30"/>
  <c r="A231" i="30"/>
  <c r="A230" i="30"/>
  <c r="A228" i="30"/>
  <c r="A227" i="30"/>
  <c r="A226" i="30"/>
  <c r="A225" i="30"/>
  <c r="A224" i="30"/>
  <c r="A223" i="30"/>
  <c r="A222" i="30"/>
  <c r="A221" i="30"/>
  <c r="A220" i="30"/>
  <c r="A219" i="30"/>
  <c r="A218" i="30"/>
  <c r="A217" i="30"/>
  <c r="A215" i="30"/>
  <c r="A214" i="30"/>
  <c r="A213" i="30"/>
  <c r="A212" i="30"/>
  <c r="A211" i="30"/>
  <c r="A210" i="30"/>
  <c r="A209" i="30"/>
  <c r="A208" i="30"/>
  <c r="A207" i="30"/>
  <c r="A206" i="30"/>
  <c r="A205" i="30"/>
  <c r="A204" i="30"/>
  <c r="A202" i="30"/>
  <c r="A201" i="30"/>
  <c r="A200" i="30"/>
  <c r="A199" i="30"/>
  <c r="A198" i="30"/>
  <c r="A197" i="30"/>
  <c r="A196" i="30"/>
  <c r="A195" i="30"/>
  <c r="A194" i="30"/>
  <c r="A193" i="30"/>
  <c r="A192" i="30"/>
  <c r="A191" i="30"/>
  <c r="A190" i="30"/>
  <c r="A189" i="30"/>
  <c r="A188" i="30"/>
  <c r="A187" i="30"/>
  <c r="A185" i="30"/>
  <c r="A184" i="30"/>
  <c r="A183" i="30"/>
  <c r="A182" i="30"/>
  <c r="A181" i="30"/>
  <c r="A180" i="30"/>
  <c r="A179" i="30"/>
  <c r="A178" i="30"/>
  <c r="A177" i="30"/>
  <c r="A176" i="30"/>
  <c r="A175" i="30"/>
  <c r="A174" i="30"/>
  <c r="A173" i="30"/>
  <c r="A172" i="30"/>
  <c r="A171" i="30"/>
  <c r="A170" i="30"/>
  <c r="A168" i="30"/>
  <c r="A167" i="30"/>
  <c r="A166" i="30"/>
  <c r="A165" i="30"/>
  <c r="A164" i="30"/>
  <c r="A163" i="30"/>
  <c r="A162" i="30"/>
  <c r="A161" i="30"/>
  <c r="A160" i="30"/>
  <c r="A159" i="30"/>
  <c r="A158" i="30"/>
  <c r="A157" i="30"/>
  <c r="A156" i="30"/>
  <c r="A155" i="30"/>
  <c r="A154" i="30"/>
  <c r="A153" i="30"/>
  <c r="A151" i="30"/>
  <c r="A150" i="30"/>
  <c r="A149" i="30"/>
  <c r="A148" i="30"/>
  <c r="A147" i="30"/>
  <c r="A146" i="30"/>
  <c r="A145" i="30"/>
  <c r="A144" i="30"/>
  <c r="A143" i="30"/>
  <c r="A142" i="30"/>
  <c r="A141" i="30"/>
  <c r="A140" i="30"/>
  <c r="A139" i="30"/>
  <c r="A138" i="30"/>
  <c r="A136" i="30"/>
  <c r="A135" i="30"/>
  <c r="A134" i="30"/>
  <c r="A133" i="30"/>
  <c r="A132" i="30"/>
  <c r="A131" i="30"/>
  <c r="A130" i="30"/>
  <c r="A129" i="30"/>
  <c r="A128" i="30"/>
  <c r="A127" i="30"/>
  <c r="A126" i="30"/>
  <c r="A125" i="30"/>
  <c r="A124" i="30"/>
  <c r="A123" i="30"/>
  <c r="A122" i="30"/>
  <c r="A121" i="30"/>
  <c r="A120" i="30"/>
  <c r="A118" i="30"/>
  <c r="A117" i="30"/>
  <c r="A116" i="30"/>
  <c r="A115" i="30"/>
  <c r="A114" i="30"/>
  <c r="A113" i="30"/>
  <c r="A112" i="30"/>
  <c r="A111" i="30"/>
  <c r="A110" i="30"/>
  <c r="A109" i="30"/>
  <c r="A108" i="30"/>
  <c r="A107" i="30"/>
  <c r="A106" i="30"/>
  <c r="A105" i="30"/>
  <c r="A104" i="30"/>
  <c r="A103" i="30"/>
  <c r="A102" i="30"/>
  <c r="A100" i="30"/>
  <c r="A99" i="30"/>
  <c r="A98" i="30"/>
  <c r="A97" i="30"/>
  <c r="A96" i="30"/>
  <c r="A95" i="30"/>
  <c r="A94" i="30"/>
  <c r="A93" i="30"/>
  <c r="A92" i="30"/>
  <c r="A91" i="30"/>
  <c r="A90" i="30"/>
  <c r="A89" i="30"/>
  <c r="A88" i="30"/>
  <c r="A87" i="30"/>
  <c r="A86" i="30"/>
  <c r="A85" i="30"/>
  <c r="A84" i="30"/>
  <c r="A82" i="30"/>
  <c r="A81" i="30"/>
  <c r="A80" i="30"/>
  <c r="A79" i="30"/>
  <c r="A78" i="30"/>
  <c r="A77" i="30"/>
  <c r="A76" i="30"/>
  <c r="A75" i="30"/>
  <c r="A74" i="30"/>
  <c r="A73" i="30"/>
  <c r="A72" i="30"/>
  <c r="A71" i="30"/>
  <c r="A70" i="30"/>
  <c r="A69" i="30"/>
  <c r="A68" i="30"/>
  <c r="A67" i="30"/>
  <c r="A66" i="30"/>
  <c r="A64" i="30"/>
  <c r="A63" i="30"/>
  <c r="A62" i="30"/>
  <c r="A61" i="30"/>
  <c r="A60" i="30"/>
  <c r="A59" i="30"/>
  <c r="A58" i="30"/>
  <c r="A57" i="30"/>
  <c r="A56" i="30"/>
  <c r="A55" i="30"/>
  <c r="A54" i="30"/>
  <c r="A53" i="30"/>
  <c r="A52" i="30"/>
  <c r="A51" i="30"/>
  <c r="A50" i="30"/>
  <c r="A49" i="30"/>
  <c r="A48" i="30"/>
  <c r="A46" i="30"/>
  <c r="A45" i="30"/>
  <c r="A44" i="30"/>
  <c r="A43" i="30"/>
  <c r="A42" i="30"/>
  <c r="A41" i="30"/>
  <c r="A40" i="30"/>
  <c r="A39" i="30"/>
  <c r="A38" i="30"/>
  <c r="A37" i="30"/>
  <c r="A36" i="30"/>
  <c r="A35" i="30"/>
  <c r="A34" i="30"/>
  <c r="A33" i="30"/>
  <c r="A32" i="30"/>
  <c r="A31" i="30"/>
  <c r="A30" i="30"/>
  <c r="A29" i="30"/>
  <c r="D28" i="30"/>
  <c r="A28" i="30"/>
  <c r="A27" i="30"/>
  <c r="A26" i="30"/>
  <c r="A17" i="30"/>
  <c r="A16" i="30"/>
  <c r="A15" i="30"/>
  <c r="A14" i="30"/>
  <c r="A13" i="30"/>
  <c r="A12" i="30"/>
  <c r="A11" i="30"/>
  <c r="D10" i="30"/>
  <c r="A10" i="30"/>
  <c r="A9" i="30"/>
  <c r="A8" i="30"/>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E80" i="29"/>
  <c r="A80" i="29"/>
  <c r="E79" i="29"/>
  <c r="A79" i="29"/>
  <c r="E78" i="29"/>
  <c r="A78" i="29"/>
  <c r="E77" i="29"/>
  <c r="A77" i="29"/>
  <c r="E76" i="29"/>
  <c r="A76" i="29"/>
  <c r="E75" i="29"/>
  <c r="A75" i="29"/>
  <c r="E74" i="29"/>
  <c r="A74" i="29"/>
  <c r="E73" i="29"/>
  <c r="A73" i="29"/>
  <c r="E72" i="29"/>
  <c r="A72" i="29"/>
  <c r="E71" i="29"/>
  <c r="A71" i="29"/>
  <c r="E70" i="29"/>
  <c r="A70" i="29"/>
  <c r="E69" i="29"/>
  <c r="A69" i="29"/>
  <c r="E68" i="29"/>
  <c r="A68" i="29"/>
  <c r="E67" i="29"/>
  <c r="A67" i="29"/>
  <c r="E66" i="29"/>
  <c r="A66" i="29"/>
  <c r="E65"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D28" i="29"/>
  <c r="A28" i="29"/>
  <c r="A27" i="29"/>
  <c r="A26" i="29"/>
  <c r="A17" i="29"/>
  <c r="A16" i="29"/>
  <c r="A15" i="29"/>
  <c r="A14" i="29"/>
  <c r="A13" i="29"/>
  <c r="A12" i="29"/>
  <c r="A11" i="29"/>
  <c r="D10" i="29"/>
  <c r="A10" i="29"/>
  <c r="A9" i="29"/>
  <c r="A8" i="29"/>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D17" i="28"/>
  <c r="A17" i="28"/>
  <c r="A16" i="28"/>
  <c r="A15" i="28"/>
  <c r="A45" i="27"/>
  <c r="A44" i="27"/>
  <c r="A43" i="27"/>
  <c r="A42" i="27"/>
  <c r="A41" i="27"/>
  <c r="A40" i="27"/>
  <c r="A30" i="27"/>
  <c r="A29" i="27"/>
  <c r="A28" i="27"/>
  <c r="A27" i="27"/>
  <c r="A26" i="27"/>
  <c r="A25" i="27"/>
  <c r="A24" i="27"/>
  <c r="A23" i="27"/>
  <c r="A22" i="27"/>
  <c r="A21" i="27"/>
  <c r="A20" i="27"/>
  <c r="A19" i="27"/>
  <c r="A18" i="27"/>
  <c r="A17" i="27"/>
  <c r="A16" i="27"/>
  <c r="A15" i="27"/>
  <c r="A14" i="27"/>
  <c r="A13" i="27"/>
  <c r="A12" i="27"/>
  <c r="A11" i="27"/>
  <c r="A10" i="27"/>
  <c r="A9" i="27"/>
  <c r="A8" i="27"/>
  <c r="A117" i="26"/>
  <c r="A116" i="26"/>
  <c r="A115" i="26"/>
  <c r="A114" i="26"/>
  <c r="A113" i="26"/>
  <c r="A112" i="26"/>
  <c r="A111" i="26"/>
  <c r="A110" i="26"/>
  <c r="A109" i="26"/>
  <c r="A108" i="26"/>
  <c r="A107" i="26"/>
  <c r="A106" i="26"/>
  <c r="E105" i="26"/>
  <c r="A105" i="26"/>
  <c r="A104" i="26"/>
  <c r="A103" i="26"/>
  <c r="A102" i="26"/>
  <c r="A101" i="26"/>
  <c r="A100" i="26"/>
  <c r="A99" i="26"/>
  <c r="A98" i="26"/>
  <c r="A97" i="26"/>
  <c r="A96" i="26"/>
  <c r="A95" i="26"/>
  <c r="A94" i="26"/>
  <c r="A93" i="26"/>
  <c r="A92" i="26"/>
  <c r="A91" i="26"/>
  <c r="A90" i="26"/>
  <c r="D89" i="26"/>
  <c r="A89" i="26"/>
  <c r="A88" i="26"/>
  <c r="A87" i="26"/>
  <c r="A78" i="26"/>
  <c r="A77" i="26"/>
  <c r="A76" i="26"/>
  <c r="A75" i="26"/>
  <c r="A74" i="26"/>
  <c r="A73" i="26"/>
  <c r="A72" i="26"/>
  <c r="A71" i="26"/>
  <c r="A70" i="26"/>
  <c r="A69" i="26"/>
  <c r="A68" i="26"/>
  <c r="A67" i="26"/>
  <c r="E66"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D27" i="26"/>
  <c r="A27" i="26"/>
  <c r="A26" i="26"/>
  <c r="A25" i="26"/>
  <c r="A16" i="26"/>
  <c r="A15" i="26"/>
  <c r="A14" i="26"/>
  <c r="A13" i="26"/>
  <c r="A12" i="26"/>
  <c r="A11" i="26"/>
  <c r="D10" i="26"/>
  <c r="A10" i="26"/>
  <c r="A9" i="26"/>
  <c r="A8" i="26"/>
  <c r="A72" i="25"/>
  <c r="A71" i="25"/>
  <c r="A70" i="25"/>
  <c r="A69" i="25"/>
  <c r="A68" i="25"/>
  <c r="A67" i="25"/>
  <c r="A66" i="25"/>
  <c r="D65" i="25"/>
  <c r="A65" i="25"/>
  <c r="A64" i="25"/>
  <c r="A63" i="25"/>
  <c r="A52" i="25"/>
  <c r="A51" i="25"/>
  <c r="A50" i="25"/>
  <c r="A49" i="25"/>
  <c r="A48" i="25"/>
  <c r="B47" i="25"/>
  <c r="A47" i="25"/>
  <c r="B46" i="25"/>
  <c r="A46" i="25"/>
  <c r="B45" i="25"/>
  <c r="A45" i="25"/>
  <c r="A44" i="25"/>
  <c r="B43" i="25"/>
  <c r="A43" i="25"/>
  <c r="B42" i="25"/>
  <c r="A42" i="25"/>
  <c r="B41" i="25"/>
  <c r="A41" i="25"/>
  <c r="A40" i="25"/>
  <c r="A39" i="25"/>
  <c r="A38" i="25"/>
  <c r="A37" i="25"/>
  <c r="A36" i="25"/>
  <c r="A35" i="25"/>
  <c r="E34" i="25"/>
  <c r="A34" i="25"/>
  <c r="D33" i="25"/>
  <c r="A33" i="25"/>
  <c r="A32" i="25"/>
  <c r="A31" i="25"/>
  <c r="A18" i="25"/>
  <c r="A17" i="25"/>
  <c r="A16" i="25"/>
  <c r="A15" i="25"/>
  <c r="A14" i="25"/>
  <c r="A13" i="25"/>
  <c r="A12" i="25"/>
  <c r="D11" i="25"/>
  <c r="A11" i="25"/>
  <c r="A10" i="25"/>
  <c r="A9" i="25"/>
  <c r="A55" i="24"/>
  <c r="A54" i="24"/>
  <c r="A53" i="24"/>
  <c r="A52" i="24"/>
  <c r="A51" i="24"/>
  <c r="D50" i="24"/>
  <c r="A50" i="24"/>
  <c r="A49" i="24"/>
  <c r="A48" i="24"/>
  <c r="A37" i="24"/>
  <c r="A36" i="24"/>
  <c r="A35" i="24"/>
  <c r="A34" i="24"/>
  <c r="A33" i="24"/>
  <c r="A32" i="24"/>
  <c r="A31" i="24"/>
  <c r="A30" i="24"/>
  <c r="A29" i="24"/>
  <c r="A28" i="24"/>
  <c r="D27" i="24"/>
  <c r="A27" i="24"/>
  <c r="A26" i="24"/>
  <c r="A25" i="24"/>
  <c r="A17" i="24"/>
  <c r="A16" i="24"/>
  <c r="A15" i="24"/>
  <c r="A14" i="24"/>
  <c r="A13" i="24"/>
  <c r="A12" i="24"/>
  <c r="D11" i="24"/>
  <c r="A11" i="24"/>
  <c r="A10" i="24"/>
  <c r="A9" i="24"/>
  <c r="A39" i="23"/>
  <c r="A38" i="23"/>
  <c r="A37" i="23"/>
  <c r="A36" i="23"/>
  <c r="A35" i="23"/>
  <c r="D34" i="23"/>
  <c r="A34" i="23"/>
  <c r="A33" i="23"/>
  <c r="A32" i="23"/>
  <c r="A16" i="23"/>
  <c r="A15" i="23"/>
  <c r="A14" i="23"/>
  <c r="A13" i="23"/>
  <c r="A12" i="23"/>
  <c r="A11" i="23"/>
  <c r="D10" i="23"/>
  <c r="A10" i="23"/>
  <c r="A9" i="23"/>
  <c r="A8" i="23"/>
  <c r="A59" i="22"/>
  <c r="A58" i="22"/>
  <c r="A57" i="22"/>
  <c r="A56" i="22"/>
  <c r="D55" i="22"/>
  <c r="A55" i="22"/>
  <c r="A54" i="22"/>
  <c r="A53" i="22"/>
  <c r="A52" i="22"/>
  <c r="A51" i="22"/>
  <c r="A40" i="22"/>
  <c r="A39" i="22"/>
  <c r="A38" i="22"/>
  <c r="A37" i="22"/>
  <c r="A36" i="22"/>
  <c r="A35" i="22"/>
  <c r="D34" i="22"/>
  <c r="A34" i="22"/>
  <c r="A33" i="22"/>
  <c r="A32" i="22"/>
  <c r="A31" i="22"/>
  <c r="A30" i="22"/>
  <c r="A18" i="22"/>
  <c r="A17" i="22"/>
  <c r="A16" i="22"/>
  <c r="A15" i="22"/>
  <c r="A14" i="22"/>
  <c r="A13" i="22"/>
  <c r="D12" i="22"/>
  <c r="A12" i="22"/>
  <c r="A11" i="22"/>
  <c r="A10" i="22"/>
  <c r="A9" i="22"/>
  <c r="A8" i="22"/>
  <c r="A97" i="21"/>
  <c r="A96" i="21"/>
  <c r="A95" i="21"/>
  <c r="A94" i="21"/>
  <c r="A93" i="21"/>
  <c r="A92" i="21"/>
  <c r="D91" i="21"/>
  <c r="A91" i="21"/>
  <c r="A90" i="21"/>
  <c r="A89" i="21"/>
  <c r="A88" i="21"/>
  <c r="A87" i="21"/>
  <c r="A77" i="21"/>
  <c r="A76" i="21"/>
  <c r="A75" i="21"/>
  <c r="A74" i="21"/>
  <c r="A73" i="21"/>
  <c r="A72" i="21"/>
  <c r="D71" i="21"/>
  <c r="A71" i="21"/>
  <c r="A70" i="21"/>
  <c r="A69" i="21"/>
  <c r="A68" i="21"/>
  <c r="A67" i="21"/>
  <c r="A58" i="21"/>
  <c r="A57" i="21"/>
  <c r="A56" i="21"/>
  <c r="A55" i="21"/>
  <c r="A54" i="21"/>
  <c r="A53" i="21"/>
  <c r="D52" i="21"/>
  <c r="A52" i="21"/>
  <c r="A51" i="21"/>
  <c r="A50" i="21"/>
  <c r="A49" i="21"/>
  <c r="A48" i="21"/>
  <c r="A39" i="21"/>
  <c r="A38" i="21"/>
  <c r="A37" i="21"/>
  <c r="A36" i="21"/>
  <c r="A35" i="21"/>
  <c r="A34" i="21"/>
  <c r="D33" i="21"/>
  <c r="A33" i="21"/>
  <c r="A32" i="21"/>
  <c r="A31" i="21"/>
  <c r="A30" i="21"/>
  <c r="A29" i="21"/>
  <c r="A18" i="21"/>
  <c r="A17" i="21"/>
  <c r="A16" i="21"/>
  <c r="A15" i="21"/>
  <c r="A14" i="21"/>
  <c r="A13" i="21"/>
  <c r="D12" i="21"/>
  <c r="A12" i="21"/>
  <c r="A11" i="21"/>
  <c r="A10" i="21"/>
  <c r="A9" i="21"/>
  <c r="A8" i="21"/>
  <c r="A61" i="20"/>
  <c r="A60" i="20"/>
  <c r="A59" i="20"/>
  <c r="A58" i="20"/>
  <c r="D57" i="20"/>
  <c r="A57" i="20"/>
  <c r="A56" i="20"/>
  <c r="A55" i="20"/>
  <c r="A54" i="20"/>
  <c r="A53" i="20"/>
  <c r="A43" i="20"/>
  <c r="A42" i="20"/>
  <c r="A41" i="20"/>
  <c r="A40" i="20"/>
  <c r="A39" i="20"/>
  <c r="A38" i="20"/>
  <c r="A37" i="20"/>
  <c r="A36" i="20"/>
  <c r="D35" i="20"/>
  <c r="A35" i="20"/>
  <c r="A34" i="20"/>
  <c r="A33" i="20"/>
  <c r="A32" i="20"/>
  <c r="A31" i="20"/>
  <c r="A20" i="20"/>
  <c r="A19" i="20"/>
  <c r="A18" i="20"/>
  <c r="A17" i="20"/>
  <c r="A16" i="20"/>
  <c r="A15" i="20"/>
  <c r="A14" i="20"/>
  <c r="A13" i="20"/>
  <c r="D12" i="20"/>
  <c r="A12" i="20"/>
  <c r="A11" i="20"/>
  <c r="A10" i="20"/>
  <c r="A9" i="20"/>
  <c r="A8" i="20"/>
  <c r="A58" i="19"/>
  <c r="A57" i="19"/>
  <c r="A56" i="19"/>
  <c r="A55" i="19"/>
  <c r="D54" i="19"/>
  <c r="A54" i="19"/>
  <c r="A53" i="19"/>
  <c r="A52" i="19"/>
  <c r="A51" i="19"/>
  <c r="A50" i="19"/>
  <c r="A40" i="19"/>
  <c r="A39" i="19"/>
  <c r="A38" i="19"/>
  <c r="A37" i="19"/>
  <c r="A36" i="19"/>
  <c r="A35" i="19"/>
  <c r="D34" i="19"/>
  <c r="A34" i="19"/>
  <c r="A33" i="19"/>
  <c r="A32" i="19"/>
  <c r="A31" i="19"/>
  <c r="A30" i="19"/>
  <c r="A18" i="19"/>
  <c r="A17" i="19"/>
  <c r="A16" i="19"/>
  <c r="A15" i="19"/>
  <c r="A14" i="19"/>
  <c r="A13" i="19"/>
  <c r="D12" i="19"/>
  <c r="A12" i="19"/>
  <c r="A11" i="19"/>
  <c r="A10" i="19"/>
  <c r="A9" i="19"/>
  <c r="A8" i="19"/>
  <c r="A136" i="18"/>
  <c r="A135" i="18"/>
  <c r="A134" i="18"/>
  <c r="A133" i="18"/>
  <c r="A132" i="18"/>
  <c r="A131" i="18"/>
  <c r="A130" i="18"/>
  <c r="D129" i="18"/>
  <c r="A129" i="18"/>
  <c r="A128" i="18"/>
  <c r="A127" i="18"/>
  <c r="A116" i="18"/>
  <c r="A115" i="18"/>
  <c r="A114" i="18"/>
  <c r="A113" i="18"/>
  <c r="A112" i="18"/>
  <c r="A111" i="18"/>
  <c r="D110" i="18"/>
  <c r="A110" i="18"/>
  <c r="A109" i="18"/>
  <c r="A108" i="18"/>
  <c r="A97" i="18"/>
  <c r="A96" i="18"/>
  <c r="A95" i="18"/>
  <c r="A94" i="18"/>
  <c r="A93" i="18"/>
  <c r="A92" i="18"/>
  <c r="A91" i="18"/>
  <c r="A90" i="18"/>
  <c r="D89" i="18"/>
  <c r="A89" i="18"/>
  <c r="A88" i="18"/>
  <c r="A87" i="18"/>
  <c r="A76" i="18"/>
  <c r="A75" i="18"/>
  <c r="A74" i="18"/>
  <c r="A73" i="18"/>
  <c r="A72" i="18"/>
  <c r="A71" i="18"/>
  <c r="A70" i="18"/>
  <c r="D69" i="18"/>
  <c r="A69" i="18"/>
  <c r="A68" i="18"/>
  <c r="A67" i="18"/>
  <c r="A56" i="18"/>
  <c r="A55" i="18"/>
  <c r="A54" i="18"/>
  <c r="A53" i="18"/>
  <c r="A52" i="18"/>
  <c r="A51" i="18"/>
  <c r="D50" i="18"/>
  <c r="A50" i="18"/>
  <c r="A49" i="18"/>
  <c r="A48" i="18"/>
  <c r="A37" i="18"/>
  <c r="A36" i="18"/>
  <c r="A35" i="18"/>
  <c r="A34" i="18"/>
  <c r="A33" i="18"/>
  <c r="A32" i="18"/>
  <c r="A31" i="18"/>
  <c r="D30" i="18"/>
  <c r="A30" i="18"/>
  <c r="A29" i="18"/>
  <c r="A28" i="18"/>
  <c r="A17" i="18"/>
  <c r="A16" i="18"/>
  <c r="A15" i="18"/>
  <c r="A14" i="18"/>
  <c r="A13" i="18"/>
  <c r="A12" i="18"/>
  <c r="A11" i="18"/>
  <c r="D10" i="18"/>
  <c r="A10" i="18"/>
  <c r="A9" i="18"/>
  <c r="A8" i="18"/>
  <c r="A42" i="17"/>
  <c r="A41" i="17"/>
  <c r="A40" i="17"/>
  <c r="A39" i="17"/>
  <c r="A38" i="17"/>
  <c r="A37" i="17"/>
  <c r="A36" i="17"/>
  <c r="A35" i="17"/>
  <c r="A34" i="17"/>
  <c r="D33" i="17"/>
  <c r="A33" i="17"/>
  <c r="A32" i="17"/>
  <c r="A31" i="17"/>
  <c r="A21" i="17"/>
  <c r="A20" i="17"/>
  <c r="A19" i="17"/>
  <c r="A18" i="17"/>
  <c r="A17" i="17"/>
  <c r="A16" i="17"/>
  <c r="A15" i="17"/>
  <c r="A14" i="17"/>
  <c r="A13" i="17"/>
  <c r="A12" i="17"/>
  <c r="A11" i="17"/>
  <c r="D10" i="17"/>
  <c r="A10" i="17"/>
  <c r="A9" i="17"/>
  <c r="A8" i="17"/>
  <c r="A43" i="16"/>
  <c r="A42" i="16"/>
  <c r="A41" i="16"/>
  <c r="A40" i="16"/>
  <c r="A39" i="16"/>
  <c r="A38" i="16"/>
  <c r="A37" i="16"/>
  <c r="A36" i="16"/>
  <c r="A35" i="16"/>
  <c r="A34" i="16"/>
  <c r="D33" i="16"/>
  <c r="A33" i="16"/>
  <c r="A32" i="16"/>
  <c r="A31" i="16"/>
  <c r="A20" i="16"/>
  <c r="A19" i="16"/>
  <c r="A18" i="16"/>
  <c r="A17" i="16"/>
  <c r="A16" i="16"/>
  <c r="A15" i="16"/>
  <c r="A14" i="16"/>
  <c r="A13" i="16"/>
  <c r="A12" i="16"/>
  <c r="A11" i="16"/>
  <c r="D10" i="16"/>
  <c r="A10" i="16"/>
  <c r="A9" i="16"/>
  <c r="A8" i="16"/>
  <c r="A51" i="15"/>
  <c r="A50" i="15"/>
  <c r="A49" i="15"/>
  <c r="A48" i="15"/>
  <c r="A47" i="15"/>
  <c r="A46" i="15"/>
  <c r="A45" i="15"/>
  <c r="A44" i="15"/>
  <c r="A43" i="15"/>
  <c r="A42" i="15"/>
  <c r="A41" i="15"/>
  <c r="A40" i="15"/>
  <c r="E39" i="15"/>
  <c r="A39" i="15"/>
  <c r="E38" i="15"/>
  <c r="A38" i="15"/>
  <c r="E37" i="15"/>
  <c r="A37" i="15"/>
  <c r="E36" i="15"/>
  <c r="A36" i="15"/>
  <c r="E35" i="15"/>
  <c r="A35" i="15"/>
  <c r="E34" i="15"/>
  <c r="A34" i="15"/>
  <c r="E33" i="15"/>
  <c r="A33" i="15"/>
  <c r="E32" i="15"/>
  <c r="A32" i="15"/>
  <c r="E31" i="15"/>
  <c r="A31" i="15"/>
  <c r="E30" i="15"/>
  <c r="A30" i="15"/>
  <c r="E29" i="15"/>
  <c r="A29" i="15"/>
  <c r="E28" i="15"/>
  <c r="A28" i="15"/>
  <c r="E27" i="15"/>
  <c r="A27" i="15"/>
  <c r="E26" i="15"/>
  <c r="A26" i="15"/>
  <c r="E25" i="15"/>
  <c r="A25" i="15"/>
  <c r="E24" i="15"/>
  <c r="A24" i="15"/>
  <c r="E23" i="15"/>
  <c r="A23" i="15"/>
  <c r="E22" i="15"/>
  <c r="A22" i="15"/>
  <c r="E21" i="15"/>
  <c r="A21" i="15"/>
  <c r="E20" i="15"/>
  <c r="A20" i="15"/>
  <c r="E19" i="15"/>
  <c r="A19" i="15"/>
  <c r="E18" i="15"/>
  <c r="A18" i="15"/>
  <c r="E17" i="15"/>
  <c r="A17" i="15"/>
  <c r="E16" i="15"/>
  <c r="A16" i="15"/>
  <c r="E15" i="15"/>
  <c r="A15" i="15"/>
  <c r="E14" i="15"/>
  <c r="A14" i="15"/>
  <c r="E13" i="15"/>
  <c r="A13" i="15"/>
  <c r="E12" i="15"/>
  <c r="A12" i="15"/>
  <c r="A11" i="15"/>
  <c r="D10" i="15"/>
  <c r="A10" i="15"/>
  <c r="A9" i="15"/>
  <c r="A8" i="15"/>
  <c r="A49" i="14"/>
  <c r="A48" i="14"/>
  <c r="A47" i="14"/>
  <c r="A46" i="14"/>
  <c r="A45" i="14"/>
  <c r="A44" i="14"/>
  <c r="A43" i="14"/>
  <c r="A42" i="14"/>
  <c r="A41" i="14"/>
  <c r="D40" i="14"/>
  <c r="A40" i="14"/>
  <c r="A39" i="14"/>
  <c r="A38" i="14"/>
  <c r="A27" i="14"/>
  <c r="A26" i="14"/>
  <c r="A25" i="14"/>
  <c r="A24" i="14"/>
  <c r="A23" i="14"/>
  <c r="A22" i="14"/>
  <c r="A21" i="14"/>
  <c r="A20" i="14"/>
  <c r="A19" i="14"/>
  <c r="A18" i="14"/>
  <c r="A17" i="14"/>
  <c r="A16" i="14"/>
  <c r="A15" i="14"/>
  <c r="A14" i="14"/>
  <c r="A13" i="14"/>
  <c r="A12" i="14"/>
  <c r="A11" i="14"/>
  <c r="D10" i="14"/>
  <c r="A10" i="14"/>
  <c r="A9" i="14"/>
  <c r="A8" i="14"/>
  <c r="A49" i="13"/>
  <c r="A48" i="13"/>
  <c r="A47" i="13"/>
  <c r="A46" i="13"/>
  <c r="A45" i="13"/>
  <c r="A44" i="13"/>
  <c r="A43" i="13"/>
  <c r="A42" i="13"/>
  <c r="A41" i="13"/>
  <c r="A40" i="13"/>
  <c r="A39" i="13"/>
  <c r="A38" i="13"/>
  <c r="A37" i="13"/>
  <c r="A36" i="13"/>
  <c r="A35" i="13"/>
  <c r="A34" i="13"/>
  <c r="D33" i="13"/>
  <c r="A33" i="13"/>
  <c r="A32" i="13"/>
  <c r="A31" i="13"/>
  <c r="A20" i="13"/>
  <c r="A19" i="13"/>
  <c r="A18" i="13"/>
  <c r="A17" i="13"/>
  <c r="A16" i="13"/>
  <c r="A15" i="13"/>
  <c r="A14" i="13"/>
  <c r="A13" i="13"/>
  <c r="A12" i="13"/>
  <c r="A11" i="13"/>
  <c r="D10" i="13"/>
  <c r="A10" i="13"/>
  <c r="A9" i="13"/>
  <c r="A8" i="13"/>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D17" i="12"/>
  <c r="A17" i="12"/>
  <c r="A16" i="12"/>
  <c r="A15" i="12"/>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D35" i="11"/>
  <c r="A35" i="11"/>
  <c r="A34" i="11"/>
  <c r="A33" i="11"/>
  <c r="A24" i="11"/>
  <c r="A23" i="11"/>
  <c r="A22" i="11"/>
  <c r="A21" i="11"/>
  <c r="A20" i="11"/>
  <c r="A19" i="11"/>
  <c r="A18" i="11"/>
  <c r="A17" i="11"/>
  <c r="A16" i="11"/>
  <c r="A15" i="11"/>
  <c r="A14" i="11"/>
  <c r="A13" i="11"/>
  <c r="A12" i="11"/>
  <c r="A11" i="11"/>
  <c r="D10" i="11"/>
  <c r="A10" i="11"/>
  <c r="A9" i="11"/>
  <c r="A8" i="11"/>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H45" i="10"/>
  <c r="D45" i="10"/>
  <c r="A45" i="10"/>
  <c r="A44" i="10"/>
  <c r="A43" i="10"/>
  <c r="A32" i="10"/>
  <c r="A31" i="10"/>
  <c r="A30" i="10"/>
  <c r="A29" i="10"/>
  <c r="A28" i="10"/>
  <c r="A27" i="10"/>
  <c r="A26" i="10"/>
  <c r="A25" i="10"/>
  <c r="A24" i="10"/>
  <c r="A23" i="10"/>
  <c r="A22" i="10"/>
  <c r="A21" i="10"/>
  <c r="A20" i="10"/>
  <c r="A19" i="10"/>
  <c r="A18" i="10"/>
  <c r="A17" i="10"/>
  <c r="A16" i="10"/>
  <c r="A15" i="10"/>
  <c r="A14" i="10"/>
  <c r="A13" i="10"/>
  <c r="A12" i="10"/>
  <c r="A11" i="10"/>
  <c r="H10" i="10"/>
  <c r="D10" i="10"/>
  <c r="A10" i="10"/>
  <c r="A9" i="10"/>
  <c r="A8" i="10"/>
  <c r="A144" i="8"/>
  <c r="A143" i="8"/>
  <c r="A142" i="8"/>
  <c r="A141" i="8"/>
  <c r="D140" i="8"/>
  <c r="A140" i="8"/>
  <c r="A139" i="8"/>
  <c r="A138" i="8"/>
  <c r="A137" i="8"/>
  <c r="A136"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D10" i="8"/>
  <c r="A10" i="8"/>
  <c r="A9" i="8"/>
  <c r="A8" i="8"/>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16" i="7"/>
  <c r="A15" i="7"/>
  <c r="A14" i="7"/>
  <c r="A13" i="7"/>
  <c r="A12" i="7"/>
  <c r="A11" i="7"/>
  <c r="D10" i="7"/>
  <c r="A10" i="7"/>
  <c r="A9" i="7"/>
  <c r="A8" i="7"/>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D10" i="6"/>
  <c r="A10" i="6"/>
  <c r="A9" i="6"/>
  <c r="A8" i="6"/>
  <c r="A135" i="38"/>
  <c r="A134" i="38"/>
  <c r="A133" i="38"/>
  <c r="A132" i="38"/>
  <c r="A131" i="38"/>
  <c r="A130" i="38"/>
  <c r="A129" i="38"/>
  <c r="A128" i="38"/>
  <c r="A127" i="38"/>
  <c r="A126" i="38"/>
  <c r="A125" i="38"/>
  <c r="A124" i="38"/>
  <c r="A123" i="38"/>
  <c r="A122" i="38"/>
  <c r="A121" i="38"/>
  <c r="A120" i="38"/>
  <c r="A119" i="38"/>
  <c r="A118" i="38"/>
  <c r="A117" i="38"/>
  <c r="A116" i="38"/>
  <c r="A115" i="38"/>
  <c r="A114" i="38"/>
  <c r="A113" i="38"/>
  <c r="A112" i="38"/>
  <c r="A111" i="38"/>
  <c r="A110" i="38"/>
  <c r="A109" i="38"/>
  <c r="A108" i="38"/>
  <c r="A107" i="38"/>
  <c r="A106" i="38"/>
  <c r="A105" i="38"/>
  <c r="A104" i="38"/>
  <c r="A103" i="38"/>
  <c r="A102" i="38"/>
  <c r="A101" i="38"/>
  <c r="A100" i="38"/>
  <c r="A99" i="38"/>
  <c r="A98" i="38"/>
  <c r="A97" i="38"/>
  <c r="A96" i="38"/>
  <c r="A95" i="38"/>
  <c r="A94" i="38"/>
  <c r="A93" i="38"/>
  <c r="A92" i="38"/>
  <c r="A91" i="38"/>
  <c r="A90" i="38"/>
  <c r="A89" i="38"/>
  <c r="A88" i="38"/>
  <c r="A87" i="38"/>
  <c r="A86" i="38"/>
  <c r="A85" i="38"/>
  <c r="A84" i="38"/>
  <c r="A83" i="38"/>
  <c r="A82" i="38"/>
  <c r="A81" i="38"/>
  <c r="A80" i="38"/>
  <c r="A79" i="38"/>
  <c r="A78" i="38"/>
  <c r="A77" i="38"/>
  <c r="A76" i="38"/>
  <c r="A75" i="38"/>
  <c r="A74" i="38"/>
  <c r="A73" i="38"/>
  <c r="A72" i="38"/>
  <c r="A71" i="38"/>
  <c r="A70" i="38"/>
  <c r="A69" i="38"/>
  <c r="A68" i="38"/>
  <c r="A67" i="38"/>
  <c r="A66" i="38"/>
  <c r="A65" i="38"/>
  <c r="A64" i="38"/>
  <c r="A63" i="38"/>
  <c r="A62" i="38"/>
  <c r="A61" i="38"/>
  <c r="A60" i="38"/>
  <c r="A59" i="38"/>
  <c r="A58" i="38"/>
  <c r="A57" i="38"/>
  <c r="A56" i="38"/>
  <c r="A55" i="38"/>
  <c r="A54" i="38"/>
  <c r="A53" i="38"/>
  <c r="A52" i="38"/>
  <c r="A51" i="38"/>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D17" i="38"/>
  <c r="A17" i="38"/>
  <c r="A16" i="38"/>
  <c r="A15" i="38"/>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D17" i="5"/>
  <c r="A17" i="5"/>
  <c r="A16" i="5"/>
  <c r="A15" i="5"/>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E91" i="3"/>
  <c r="A91" i="3"/>
  <c r="E90" i="3"/>
  <c r="A90" i="3"/>
  <c r="E89" i="3"/>
  <c r="A89" i="3"/>
  <c r="E88" i="3"/>
  <c r="A88" i="3"/>
  <c r="E87" i="3"/>
  <c r="A87" i="3"/>
  <c r="E86" i="3"/>
  <c r="A86" i="3"/>
  <c r="E85" i="3"/>
  <c r="A85" i="3"/>
  <c r="E84" i="3"/>
  <c r="A84" i="3"/>
  <c r="E83" i="3"/>
  <c r="A83" i="3"/>
  <c r="E82" i="3"/>
  <c r="A82" i="3"/>
  <c r="E81" i="3"/>
  <c r="A81" i="3"/>
  <c r="E80" i="3"/>
  <c r="A80" i="3"/>
  <c r="E79" i="3"/>
  <c r="A79" i="3"/>
  <c r="E78" i="3"/>
  <c r="A78" i="3"/>
  <c r="E77" i="3"/>
  <c r="A77" i="3"/>
  <c r="E76" i="3"/>
  <c r="A76" i="3"/>
  <c r="E75"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17" i="3"/>
  <c r="A16" i="3"/>
  <c r="A15" i="3"/>
  <c r="A14" i="3"/>
  <c r="A13" i="3"/>
  <c r="A12" i="3"/>
  <c r="A11" i="3"/>
  <c r="D10" i="3"/>
  <c r="A10" i="3"/>
  <c r="A9" i="3"/>
  <c r="A8" i="3"/>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17" i="4"/>
  <c r="A16" i="4"/>
  <c r="A15" i="4"/>
  <c r="A14" i="4"/>
  <c r="A13" i="4"/>
  <c r="A12" i="4"/>
  <c r="A11" i="4"/>
  <c r="G10" i="4"/>
  <c r="D10" i="4"/>
  <c r="A10" i="4"/>
  <c r="A9" i="4"/>
  <c r="A8" i="4"/>
</calcChain>
</file>

<file path=xl/sharedStrings.xml><?xml version="1.0" encoding="utf-8"?>
<sst xmlns="http://schemas.openxmlformats.org/spreadsheetml/2006/main" count="8937" uniqueCount="1937">
  <si>
    <t>IVRF_Protocol_Document</t>
  </si>
  <si>
    <t>Current Revision No</t>
  </si>
  <si>
    <t>Revision No</t>
  </si>
  <si>
    <t>Date</t>
  </si>
  <si>
    <t>Changes in Brief</t>
  </si>
  <si>
    <t>Done By</t>
  </si>
  <si>
    <t>Colour Code</t>
  </si>
  <si>
    <t>user and Engg frame change from DVRF to IVRF</t>
  </si>
  <si>
    <t>Sagar C</t>
  </si>
  <si>
    <t>In Config upload and download reply frame, IVRF identifier added</t>
  </si>
  <si>
    <t>1.New IDU capacities added in "User frame", "IDU Parameter", "Configuration Upload", "Configuration Download" sheets.
2.IDU Backup mode command added in "ODU-IDU Normal Comm" sheet.
3.Filter Reset command added in"IDU Parameters Upload" Sheet.</t>
  </si>
  <si>
    <t>Suraj C</t>
  </si>
  <si>
    <t xml:space="preserve">1. Added Capcity codes for different capacities of SIAM compressor </t>
  </si>
  <si>
    <t>Prathamesh S</t>
  </si>
  <si>
    <t>Communication Sequence details added.
For 6th Gen VRF - Fan Drive parameters &amp; New sensor added in Engineering frame.</t>
  </si>
  <si>
    <t>Danish Ahmed</t>
  </si>
  <si>
    <t>Compressor Drive Firmware verision added in Engineering Frame in future use bytes.
ODUm-ODUs Communication protocol updated for all above parameter.</t>
  </si>
  <si>
    <t>1. Fan Drive 2 parameters added in ODUm-ODUs Communication protocol
2. Byte values added based on VRF V Plus firmware in ODUm-ODUs Communication protocol.
3. Oil Level Byte value added in Engineering Frame.</t>
  </si>
  <si>
    <t>1. Oil Level values defination changed in Engineering Frame &amp; ODUm-ODUs frame.
2. Comp. Drive FW version format changed to Hex instead of ASCII in Engineering Frame &amp; ODUm-ODUs frame.</t>
  </si>
  <si>
    <t>1. Oil Level values defination changed in Engineering Frame &amp; ODUm-ODUs frame.</t>
  </si>
  <si>
    <t>1. Reverse Rotation command added between Master &amp; Slave.
2. Slave Ambient Protection State added between Master &amp; Slave in Reserved Byte.</t>
  </si>
  <si>
    <t>09--Jan-25</t>
  </si>
  <si>
    <t>1. In IVRF Engineering frame,For 6th gen, Oil temp 1, Oil temp 2, Suction temp, Fan Drive 1 current, Fan Drive 2 current after decimal conversion value to be divided by 10
2. In IVRF Engineering frame, For 5th &amp; 6th gen, Liq Inj, parameter description of 0,1 and 2 level added
3. In IVRF Engineering frame, For 6th gen, Protections CP1, CP2, IT1, IT2 added</t>
  </si>
  <si>
    <t>Sneha Shirsat</t>
  </si>
  <si>
    <t>16--Feb--2026</t>
  </si>
  <si>
    <t>Added IDU Model type of 1-way CST identification</t>
  </si>
  <si>
    <t>Amey Samant</t>
  </si>
  <si>
    <t>VRF IV Plus, V Plus &amp; VRF VI Plus Communication Protocol Frames Explanation:</t>
  </si>
  <si>
    <t>SF</t>
  </si>
  <si>
    <t>Special Feature (Debugger)</t>
  </si>
  <si>
    <t>Date -31-8-2023</t>
  </si>
  <si>
    <t>ODUm</t>
  </si>
  <si>
    <t>Master ODU Controller</t>
  </si>
  <si>
    <t>ODUs</t>
  </si>
  <si>
    <t>Slave ODU Controller</t>
  </si>
  <si>
    <t>IDU</t>
  </si>
  <si>
    <t>IDU Controller</t>
  </si>
  <si>
    <t>Sr No</t>
  </si>
  <si>
    <t>Frame Name</t>
  </si>
  <si>
    <t>Purpose</t>
  </si>
  <si>
    <t>Communication Line</t>
  </si>
  <si>
    <t>Master</t>
  </si>
  <si>
    <t>Slave</t>
  </si>
  <si>
    <t>Interval</t>
  </si>
  <si>
    <t>Commn settings</t>
  </si>
  <si>
    <t>IVRF Engineering Frame</t>
  </si>
  <si>
    <t>Command Frame From PC Monitoring to ODU Master of System for Engineering Data
Reply Send from ODU Master of System to PC Monitoring for User data</t>
  </si>
  <si>
    <t>A2B2
SF-ODUm</t>
  </si>
  <si>
    <t>Event Based
As fast as every 1 second Request can come</t>
  </si>
  <si>
    <t>Baud Rate : 57600
Parity : None
Stop Bit : 1
Data Bits : 8</t>
  </si>
  <si>
    <t>IVRF User Frame</t>
  </si>
  <si>
    <t>Command Frame From PC Monitoring to ODU Master of System for User Data
Reply Send from ODU Master of System to PC Monitoring for User Data</t>
  </si>
  <si>
    <t>Event Based</t>
  </si>
  <si>
    <t>IVRF ODU Parameters</t>
  </si>
  <si>
    <t>Frame From PC Monitoring to ODU Masters for ODU Parameters</t>
  </si>
  <si>
    <t>IDU Parameters</t>
  </si>
  <si>
    <t>Frame From PC Monitoring to ODU Master for IDU Parameters</t>
  </si>
  <si>
    <t>IVRF Configuration Download</t>
  </si>
  <si>
    <t>Frame From PC Monitoring to ODU Master for Configuration Download Request
Reply From ODU Master to PC Monitoring for Configuration Download</t>
  </si>
  <si>
    <t>IVRF Configuration Upload</t>
  </si>
  <si>
    <t>From PC Monitoring to ODU Master for Configuration Upload
ACK or NACK Frame From ODU Master to PC Monitoring</t>
  </si>
  <si>
    <t>ODUm-ODUs Communication</t>
  </si>
  <si>
    <t>Frame From ODU Master to Slave for Data
Reply From Slave to ODU Master for Slave Data</t>
  </si>
  <si>
    <t>A1B1
ODUm-ODUs</t>
  </si>
  <si>
    <t>ODUs x 3</t>
  </si>
  <si>
    <t>Every 10 seconds</t>
  </si>
  <si>
    <t>Baud Rate : 9600
Parity : None
Stop Bit : 1
Data Bits : 8</t>
  </si>
  <si>
    <t>ODU-IDU Communication</t>
  </si>
  <si>
    <t>Frame From ODU Master to IDU for IDU Data
Reply From IDU to ODU Master for Data</t>
  </si>
  <si>
    <t>A1B1
ODUm-IDU</t>
  </si>
  <si>
    <t>IDUs x 64</t>
  </si>
  <si>
    <t>Every 10 seconds
After slave commn is completed</t>
  </si>
  <si>
    <t>IVRF Slave ODU Parameters</t>
  </si>
  <si>
    <t>Frame From ODU Master to Slave for Slave Parameter upload</t>
  </si>
  <si>
    <t xml:space="preserve">Event Based
</t>
  </si>
  <si>
    <t>Slave Config Download</t>
  </si>
  <si>
    <t>Frame From ODU Master to Slave for Slave Configuration Download Request
Reply From Slave to ODU Master for Slave Configuration Download</t>
  </si>
  <si>
    <t>Slave Config Upload</t>
  </si>
  <si>
    <t>Frame From ODU Master to Slave for Slave Configuration Upload
Reply From Slave to ODU Master for Slave Configuration Upload</t>
  </si>
  <si>
    <t>Set IDU Parameters</t>
  </si>
  <si>
    <t>Frame From ODU Master to IDU for IDU Parameters Upload</t>
  </si>
  <si>
    <t>IDU Config Download</t>
  </si>
  <si>
    <t>Frame From ODU Master to IDU for Configuration Download Request
Reply From IDU to ODU Master for Configuration Download</t>
  </si>
  <si>
    <t>IDU Config Upload</t>
  </si>
  <si>
    <t>Frame From ODU Master to IDU for Configuration Upload
Reply From IDU to ODU Master for Configuration Upload</t>
  </si>
  <si>
    <t>Auto Addressing</t>
  </si>
  <si>
    <t>Frame From  ODU Master to IDU for Start of Autoadressing
Frame From  ODU Master to IDU for Who is IDU 'X'
Reply Frame From IDU to ODU Master for Who is IDU 'X'
Frame From  ODU Master to IDU for Recalculation
Frame From  ODU Master to IDU for IDU ID Confirmation
Reply Frame From IDU to ODU Master for IDU ID Confirmation
Frame From  ODU Master to IDU for End of Autoadressing</t>
  </si>
  <si>
    <t>Start of BL Session</t>
  </si>
  <si>
    <t>Frame From PC Monitoring to ODU Master for Start of Bootloader Session Command
Frame From ODU Master to Slave or IDU for Start of Bootloader Session Command
ACK or NACK Frame From ODU Master to PC Monitoring</t>
  </si>
  <si>
    <t>x</t>
  </si>
  <si>
    <t>Block Programming</t>
  </si>
  <si>
    <t>Frame From PC Monitoring to ODU Master for Block Programming
Frame From ODU Master to Slave or IDU for Block Programming
ACK or NACK Frame From ODU Master to PC Monitoring</t>
  </si>
  <si>
    <t>BL Status Polling</t>
  </si>
  <si>
    <t>Frame From PC Monitoring to ODU Master for Status Polling
Reply Frame From ODU Master to PC Monitoring for Programming Status of master
Reply Frame From ODU Master to PC Monitoring for Programming Status of IDUs and Slave
Frame From ODU Master to Slave or IDU for Status Polling
Reply Frame From Slave or IDU to ODU Master for Programming Status</t>
  </si>
  <si>
    <t>End of BL Session</t>
  </si>
  <si>
    <t>Frame From PC Monitoring to ODU Master for End of Bootloader Session Command
Frame From ODU Master to Slave or IDU for Start of Bootloader Session Command
ACK or NACK Frame From ODU Master to PC Monitoring</t>
  </si>
  <si>
    <t xml:space="preserve">DC, Moddbus, DA Config </t>
  </si>
  <si>
    <t>Frame From PC Application to Data Concentrator or Data Acq module or Modbus Converter for no of systems connected
Frame From Data Concentrator or Data Acq module or Modbus Converter to PC Application for acknowledgment</t>
  </si>
  <si>
    <t>Date Time Config in DA</t>
  </si>
  <si>
    <t>Request Frame From PC Application to Data Acq module for Date and time
Frame From PC Application to Data Acq module or vice versa for Date and time
Frame From Data Acq module to PC Application for acknowledgment</t>
  </si>
  <si>
    <t>Data Acq Communication</t>
  </si>
  <si>
    <t>Request Frame From PC Application to Data Acq module for Data
Reply Frame From Data Acq module to PC for Data
Reply Frame From Data Acq module to PC for Data</t>
  </si>
  <si>
    <t>IVRF Error Logging</t>
  </si>
  <si>
    <t>ODU Error Log Request by PCM
ODU Error Log Upload by ODU Master
IDU Error Log Upload by ODU Master</t>
  </si>
  <si>
    <t>ODU Config</t>
  </si>
  <si>
    <t>Command Frame From Debugger to ODU for ODU Configuration and Auto Address
Reply Send from ODU Master</t>
  </si>
  <si>
    <t>Issues or changes</t>
  </si>
  <si>
    <t>ODU Firmware change required?</t>
  </si>
  <si>
    <t>Command Frame From PC Monitoring to ODU Master of System for Engineering Data</t>
  </si>
  <si>
    <t>* |  P| C | Frame Count | Syatem ID | Command| Data Type(E) | Protocol Version | CRC| #</t>
  </si>
  <si>
    <t>Protocol_Data Byte No.</t>
  </si>
  <si>
    <t>Length (Bytes)</t>
  </si>
  <si>
    <t>Parameter</t>
  </si>
  <si>
    <t>Description</t>
  </si>
  <si>
    <t>*</t>
  </si>
  <si>
    <t>Start of frame</t>
  </si>
  <si>
    <t>P</t>
  </si>
  <si>
    <t>Frame from PC Monitoring to ODU Master</t>
  </si>
  <si>
    <t>C</t>
  </si>
  <si>
    <t>Command Frame</t>
  </si>
  <si>
    <t>No. of characters in the Frame before CRC including '*' =in Hex=</t>
  </si>
  <si>
    <t>System ID</t>
  </si>
  <si>
    <t>(1-60)d=(1-3C)h=(0x30,0x30 to 0x33,0x43)ASCII</t>
  </si>
  <si>
    <t>Command</t>
  </si>
  <si>
    <t>For System Status Data      01d=(01)h=(0x30,0x31)ASCII</t>
  </si>
  <si>
    <t>Data Type</t>
  </si>
  <si>
    <t xml:space="preserve">For Engineering data 'E' = 0x45                                                 </t>
  </si>
  <si>
    <t>Protocol Revision</t>
  </si>
  <si>
    <t>Range:(0-256)d=(0-FF)h=(0x30,0x30-0x46,0x46)ASCII</t>
  </si>
  <si>
    <t>CRC</t>
  </si>
  <si>
    <t xml:space="preserve">16 bit CRC calculated from including * and converted to 4 byte ASCII hex for transmission </t>
  </si>
  <si>
    <t>#</t>
  </si>
  <si>
    <t>End of Data</t>
  </si>
  <si>
    <t>Reply Send from ODU Master of System to PC Monitoring for User data</t>
  </si>
  <si>
    <t>* |  M| D | XXI | System Data | Syatem ID| Data Type(E) | Protocol Version no | CRC| #</t>
  </si>
  <si>
    <t xml:space="preserve">*   </t>
  </si>
  <si>
    <t xml:space="preserve">M </t>
  </si>
  <si>
    <t>Frame From Master to PC monitoring</t>
  </si>
  <si>
    <t>D</t>
  </si>
  <si>
    <t>Data Frame</t>
  </si>
  <si>
    <t>XXI</t>
  </si>
  <si>
    <t>IVRF</t>
  </si>
  <si>
    <t>System Info</t>
  </si>
  <si>
    <t>System 3min OFF</t>
  </si>
  <si>
    <t>0x30 = OFF                                                                                                       0x31 = ON
Bool</t>
  </si>
  <si>
    <t>2</t>
  </si>
  <si>
    <t>IDUqty</t>
  </si>
  <si>
    <t>Range (0-64)d=(0-40)h=(0x30,0x30-0x34,0x30)ASCII
Unsigned Char</t>
  </si>
  <si>
    <t>3</t>
  </si>
  <si>
    <t>ΣODU</t>
  </si>
  <si>
    <t>Range:(0-2112)d=(0x30,0x30,0x30 – 0x38,0x34,0x30)ASCII
Unsigned int</t>
  </si>
  <si>
    <t>4</t>
  </si>
  <si>
    <t>ΣIDU</t>
  </si>
  <si>
    <t>Range:(0-21824)d=(0x30,0x30,0x30,0x30 – 0x35,0x35,0x34,0x30)ASCIIt
Unsigned int</t>
  </si>
  <si>
    <t>Diversity</t>
  </si>
  <si>
    <t>Range:(0-150)d=(provision for 0-999)d=                              (0x30,0x30,0x30-0x33,0x45,0x37)ASCII
Unsigned int</t>
  </si>
  <si>
    <t>ΣThermoON</t>
  </si>
  <si>
    <t>Range:(0-21824)d=(0x30,0x30,0x30,0x30 – 0x35,0x35,0x34,0x30)ASCII
Unsigned int</t>
  </si>
  <si>
    <t>TMC</t>
  </si>
  <si>
    <t>TSCnew</t>
  </si>
  <si>
    <t>TSCold</t>
  </si>
  <si>
    <t>BTCnew</t>
  </si>
  <si>
    <t>BTCold</t>
  </si>
  <si>
    <t>1</t>
  </si>
  <si>
    <t>ODU Mode</t>
  </si>
  <si>
    <t>0x30 = Off                                                                          0x31 = Heat                                                                        0x32 = Cool                                                                         0x33 = Free
Unsigned char</t>
  </si>
  <si>
    <t>0x30 = Free                                                                          0x31 = Heat                                                                        0x32 = Cool                                                                         0x33 = Off
Unsigned char</t>
  </si>
  <si>
    <t>No</t>
  </si>
  <si>
    <t>ODU Mode Act</t>
  </si>
  <si>
    <t xml:space="preserve">0x30 = Off                                                                          0x31 = Heat                                                                        0x32 = Cool                
Unsigned char                                           </t>
  </si>
  <si>
    <t>ODU RTC</t>
  </si>
  <si>
    <t>DD:MM:YY, HH:MM</t>
  </si>
  <si>
    <t>Switch</t>
  </si>
  <si>
    <t>PERF</t>
  </si>
  <si>
    <t>0x30 = OFF                                                                                                      0x31 = ON
Bool</t>
  </si>
  <si>
    <t>Not implemented in ODU F/W</t>
  </si>
  <si>
    <t>Yes</t>
  </si>
  <si>
    <t>CHKM</t>
  </si>
  <si>
    <t>(0-15)d = (0-F)h
Unsigned Char</t>
  </si>
  <si>
    <t>SLTM</t>
  </si>
  <si>
    <t>SLTL</t>
  </si>
  <si>
    <t>DMDM</t>
  </si>
  <si>
    <t>DMDL</t>
  </si>
  <si>
    <t>General Info Master</t>
  </si>
  <si>
    <t>CAP</t>
  </si>
  <si>
    <t xml:space="preserve">VRF ODU Capacity Codes
0x30 = '0' = 0 HP					
0x31 = '1' = 7 HP					
0x32 = '2' = 8 HP					
0x33 = '3' = 10 HP					
0x34 = '4' = 12 HP					
0x35 = '5' = 14 HP					
0x36 = '6' = 16 HP					
0x37 = '7' = 18 HP					
0x38 = '8' = 20 HP					
0x39 = '9' = 22 HP					
0x43 = 'C' = 24 HP					
0x44 = 'D' = 26 HP					
0x45 = 'E' = 28 HP             
0x46 = 'F' = 4 HP					
0x47 = 'G' = 5 HP					
0x48 = 'H' = 6 HP    </t>
  </si>
  <si>
    <t>TOC</t>
  </si>
  <si>
    <t>Defrost</t>
  </si>
  <si>
    <t>0x30 = Normal                                                         0x31 = Go defrost
Unsigned Char</t>
  </si>
  <si>
    <t>Self oil recovery</t>
  </si>
  <si>
    <t>0x30 = Normal                                                        0x31 = Do Self oil recovery
0x32 = 
0x33 = 
Unsigned Char</t>
  </si>
  <si>
    <t>Oil Swap</t>
  </si>
  <si>
    <t>0x30 = Normal     
0x31 =                                                       0x32 = Supplier                                                                            0x33 = Receiver
Unsigned Char</t>
  </si>
  <si>
    <t>Liquid inject</t>
  </si>
  <si>
    <t>0x30 = 0                                                                                                     0x31 =  1
0x30 = 2
Unsigned Char</t>
  </si>
  <si>
    <t>DBG</t>
  </si>
  <si>
    <t xml:space="preserve">Range (0-64)d=(0-40)h=(0x30,0x30-0x34,0x30)ASCII 
Unsigned int   </t>
  </si>
  <si>
    <t>ODU 3 min OFF</t>
  </si>
  <si>
    <t>Inv1 3 min off</t>
  </si>
  <si>
    <t>Inv2 3 min off</t>
  </si>
  <si>
    <t>Nominal Capacity</t>
  </si>
  <si>
    <t>Max Capacity</t>
  </si>
  <si>
    <t>ECC</t>
  </si>
  <si>
    <t>Range : (0-704)d=(0-2C0)h=                                        (0x30,0x30,0x30-0x32,0x43,0x30)ASCII
Unsigned int</t>
  </si>
  <si>
    <t>Master F/w</t>
  </si>
  <si>
    <t>(01-256)d=(01-FF)h=(0x30,0x31-0x46,0x46)ASCII
Unsigned Char</t>
  </si>
  <si>
    <t>SPPR F/w</t>
  </si>
  <si>
    <t>Fan Drive 1 FW version</t>
  </si>
  <si>
    <t>Fan F/w</t>
  </si>
  <si>
    <t>Fan Drive 2 FW version</t>
  </si>
  <si>
    <t>General Info Slave 1</t>
  </si>
  <si>
    <t>0x30 = Normal     
0x31 =                                                       0x32 = Supplier                                                                            0x33 = Receiver</t>
  </si>
  <si>
    <t xml:space="preserve">Range (0-64)d=(0-40)h=(0x30,0x30-0x34,0x30)ASCII
Unsigned int    </t>
  </si>
  <si>
    <t>(01-256)d=(01-FF)h=(0x30,0x31-0x46,0x46)ASCIIt
Unsigned i</t>
  </si>
  <si>
    <t>(01-256)d=(01-FF)h=(0x30,0x31-0x46,0x46)ASCII
Unsigned int</t>
  </si>
  <si>
    <t>General Info Slave 2</t>
  </si>
  <si>
    <t>Range (0-64)d=(0-40)h=(0x30,0x30-0x34,0x30)ASCII
Unsigned int</t>
  </si>
  <si>
    <t>General Info Slave 3</t>
  </si>
  <si>
    <t>Master Output</t>
  </si>
  <si>
    <t>Set RPS1</t>
  </si>
  <si>
    <t>Decimal Range :(0-1000)d=(0-3E8)h
Unsigned int</t>
  </si>
  <si>
    <t>Set RPS2</t>
  </si>
  <si>
    <t>F/b RPS1</t>
  </si>
  <si>
    <t>F/b RPS2</t>
  </si>
  <si>
    <t>4W V</t>
  </si>
  <si>
    <t>SORV</t>
  </si>
  <si>
    <t>OPOV</t>
  </si>
  <si>
    <t>ORCV</t>
  </si>
  <si>
    <t>LIBA</t>
  </si>
  <si>
    <t>LIA1</t>
  </si>
  <si>
    <t>MLQV</t>
  </si>
  <si>
    <t>HOTD</t>
  </si>
  <si>
    <t>ULV1</t>
  </si>
  <si>
    <t>ULV2</t>
  </si>
  <si>
    <t>AROLV</t>
  </si>
  <si>
    <t>EXV1 Step</t>
  </si>
  <si>
    <t>Decimal Range : (0 – 520)d=(0-208)h                                                                 (0x30,0x30,0x30 – 0x32,0x30,0x38)ASCII
Unsigned int</t>
  </si>
  <si>
    <t>Range should be (0-3000)d=(0-BB8)h</t>
  </si>
  <si>
    <t>EXV2 Step</t>
  </si>
  <si>
    <t>Fan Step</t>
  </si>
  <si>
    <t>(0-11)d=(0-B)h                                                                                               (0x30-0x42)ASCII
Unsigned int</t>
  </si>
  <si>
    <t>Range should be (0-12)d=(0-C)h</t>
  </si>
  <si>
    <t>Fan1 RPM</t>
  </si>
  <si>
    <t>Range: (0-1500)d=(0-5DC)h                                                                                 (0x30,0x30,0x30-0x35,0x44,0x43)ASCII 
Unsigned int</t>
  </si>
  <si>
    <t>Fan2 RPM</t>
  </si>
  <si>
    <t>Slave 1 Output</t>
  </si>
  <si>
    <t>Slave 2 Output</t>
  </si>
  <si>
    <t>Slave 3 Output</t>
  </si>
  <si>
    <t>Priorities Master</t>
  </si>
  <si>
    <t>Inv 1</t>
  </si>
  <si>
    <t xml:space="preserve">Range: (0-9)d=(0-9)h  =(0x30-0x39)ASCII
Unsigned Char
</t>
  </si>
  <si>
    <t>Inv 2</t>
  </si>
  <si>
    <t>ODU Startup Flag</t>
  </si>
  <si>
    <t>Priorities Slave 1</t>
  </si>
  <si>
    <t>Range: (0-9)d=(0-9)h  =(0x30-0x39)ASCII
Unsigned Char</t>
  </si>
  <si>
    <t>Startup</t>
  </si>
  <si>
    <t>Priorities Slave 2</t>
  </si>
  <si>
    <t>Priorities Slave 3</t>
  </si>
  <si>
    <t>Master Inputs</t>
  </si>
  <si>
    <t>High pressure</t>
  </si>
  <si>
    <t>Range: (0 – 700)d=(0-2BC)h                                                           (0x30,0x30,0x30 – 0x32,0x42,0x43)ASCII
Unsigned int</t>
  </si>
  <si>
    <t>Low pressure</t>
  </si>
  <si>
    <t>Tsat corresponding to High pressure</t>
  </si>
  <si>
    <t>Range: (0 – 512)d=(0-200)h                                       (0x30,0x30,0x30 – 0x32,0x30,0x30)ASCII
Unsigned int</t>
  </si>
  <si>
    <t>Temperature Range: -45.0 to +140.0                                                                          1 byte for polarity
‘+’ = Positive = 0x2B
 ‘-‘ = Negative = 0x2D                                                                                 3 bytes for value                                                                             Decimal range : 0.0 to 140.0
Range: (0 to 1400)d=(0 to 0x578)h    give dec point frm pc y/10 
(0x30,0x30,0x30 – 0x35,0x37,0x38)
1st Byte sign
3 Bytes Unsigned Int</t>
  </si>
  <si>
    <t>Tsat corresponding to Low pressure</t>
  </si>
  <si>
    <t>DLT1</t>
  </si>
  <si>
    <t>Range: (0 – 150)d=(0-096)h                                                           (0x30,0x30,0x30 – 0x30,0x39,0x36)ASCII
Unsigned int</t>
  </si>
  <si>
    <t xml:space="preserve">Range: (0 – 150)d=(0-096)h                                                           (0x30,0x30,0x30 – 0x30,0x39,0x36)ASCII
Unsigned int
</t>
  </si>
  <si>
    <t>DLT2</t>
  </si>
  <si>
    <t>Inv1 Current</t>
  </si>
  <si>
    <t>Inv2 Current</t>
  </si>
  <si>
    <t>IPM T1</t>
  </si>
  <si>
    <t>IPM T2</t>
  </si>
  <si>
    <t>Inv1 DC</t>
  </si>
  <si>
    <t>Inv2 DC</t>
  </si>
  <si>
    <t>Tgas1</t>
  </si>
  <si>
    <t xml:space="preserve">Temperature Range: -45.0 to +140.0                                                                          1 byte for polarity
‘+’ = Positive = 0x2B
 ‘-‘ = Negative = 0x2D                                                                                 3 bytes for value                                                                             Decimal range : 0.0 to 140.0
Range: (0 to 1400)d=(0 to 0x578)h    give dec point frm pc y/10 
(0x30,0x30,0x30 – 0x35,0x37,0x38)
1st Byte sign
3 Bytes Unsigned Int                                                           </t>
  </si>
  <si>
    <t>Tliq1</t>
  </si>
  <si>
    <t>Tgas2</t>
  </si>
  <si>
    <t>Tliq2</t>
  </si>
  <si>
    <t>Tamb</t>
  </si>
  <si>
    <t>Err</t>
  </si>
  <si>
    <t xml:space="preserve">  For Example                                                                  C4=0x43,0x34                                                                    E1=0x45,0x31                                                                                    F2=0x46,0x32                                                                                   U4=0x55,0x34       
Unsigned Char                                                                         </t>
  </si>
  <si>
    <t>Last err</t>
  </si>
  <si>
    <t>Vr</t>
  </si>
  <si>
    <t>Range: (000-999)d=(0-3E7)h                                                              (0x30,0x30,0x30 – 0x33,0x45,0x37)ASCII</t>
  </si>
  <si>
    <t>Oil Temp1</t>
  </si>
  <si>
    <t>Range: (0 – 150)d=(0-096)h                                                           (0x30,0x30,0x30 – 0x30,0x39,0x36)ASCII
Unsigned int
Receiver to convert to Decimal then divide by 10</t>
  </si>
  <si>
    <t>Vy</t>
  </si>
  <si>
    <t>Range: (000-999)d=(0-3E7)h                                                              (0x30,0x30,0x30 – 0x33,0x45,0x37)ASCII
Unsigned int</t>
  </si>
  <si>
    <t>Oil Temp2</t>
  </si>
  <si>
    <t>Vb</t>
  </si>
  <si>
    <t>Suction Temp</t>
  </si>
  <si>
    <t>Slave 1 Inputs</t>
  </si>
  <si>
    <t>Range: (0 – 150)d=(0-096)h                                                           (0x30,0x30,0x30 – 0x30,0x39,0x36)ASCII
Unsigned int
For Decimal, consider value to be /10</t>
  </si>
  <si>
    <t xml:space="preserve">  For Example                                                                  C4=0x43,0x34                                                                    E1=0x45,0x31                                                                                    F2=0x46,0x32                                                                                   U4=0x55,0x34  
Unsigned Char                                                                              </t>
  </si>
  <si>
    <t>Slave 2 Inputs</t>
  </si>
  <si>
    <t xml:space="preserve">  For Example                                                                  C4=0x43,0x34                                                                    E1=0x45,0x31                                                                                    F2=0x46,0x32                                                                                   U4=0x55,0x34      
Unsigned char                                                                          </t>
  </si>
  <si>
    <t>Slave 3 Inputs</t>
  </si>
  <si>
    <t xml:space="preserve">  For Example                                                                  C4=0x43,0x34                                                                    E1=0x45,0x31                                                                                    F2=0x46,0x32                                                                                   U4=0x55,0x34           
Unsigned Char                                                                     </t>
  </si>
  <si>
    <t>Protection Master</t>
  </si>
  <si>
    <t>HPS</t>
  </si>
  <si>
    <t>LPS</t>
  </si>
  <si>
    <t>HP_Sw</t>
  </si>
  <si>
    <t>Tc</t>
  </si>
  <si>
    <t>Te</t>
  </si>
  <si>
    <t>DLT</t>
  </si>
  <si>
    <t>PR</t>
  </si>
  <si>
    <t>Fan Motor 1 Phase Current</t>
  </si>
  <si>
    <t>SP</t>
  </si>
  <si>
    <t>Phase_Imbalance</t>
  </si>
  <si>
    <t>UV</t>
  </si>
  <si>
    <t>Fan Drive 1 IPM Temp</t>
  </si>
  <si>
    <t>OV</t>
  </si>
  <si>
    <t>CP1</t>
  </si>
  <si>
    <t>CP2</t>
  </si>
  <si>
    <t>Fan Drive 1 HVDC</t>
  </si>
  <si>
    <t>IT1</t>
  </si>
  <si>
    <t>IT2</t>
  </si>
  <si>
    <t>Protection Slave 1</t>
  </si>
  <si>
    <t>Protection Slave 2</t>
  </si>
  <si>
    <t>Protection Slave 3</t>
  </si>
  <si>
    <t xml:space="preserve">Master Pretrip Counts </t>
  </si>
  <si>
    <t>OC1</t>
  </si>
  <si>
    <t>Fan Motor 2 Phase Current</t>
  </si>
  <si>
    <t>OC2</t>
  </si>
  <si>
    <t>OLL1</t>
  </si>
  <si>
    <t>OLL2</t>
  </si>
  <si>
    <t>Fan Drive 2 IPM Temp</t>
  </si>
  <si>
    <t>OL1</t>
  </si>
  <si>
    <t>OL2</t>
  </si>
  <si>
    <t>OH1</t>
  </si>
  <si>
    <t>Fan Drive 2 HVDC</t>
  </si>
  <si>
    <t>OH2</t>
  </si>
  <si>
    <t>SE1</t>
  </si>
  <si>
    <t>SE2</t>
  </si>
  <si>
    <t>Master Protections 
CP1, CP2, IT1, IT2</t>
  </si>
  <si>
    <t>Range: (0 – 150)d=(0-096)h                                                           (0x30,0x30,0x30 – 0x30,0x39,0x36)ASCII
Unsigned int
Bit 0 : CP1 : 0 = OFF, 1= ON
Bit 1 : CP2 : 0= OFF, 1= ON
Bit 2 : IT1 : 0= OFF,1= ON
Bit 3 : IT2 : 0= OFF, 1= ON
Bit 4 to Bit 8 reserved</t>
  </si>
  <si>
    <t>Bit 0 : CP1 : 0 = OFF, 1= ON
Bit 1 : CP2 : 0= OFF, 1= ON
Bit 2 : IT1 : 0= OFF,1= ON
Bit 3 : IT2 : 0= OFF, 1= ON
Bit 4 to Bit 8 reserved
Example: CP1 = ON, CP2 = ON, IT1 = OFF, IT2 = ON
the byte becomes: (00001011)b = (B)h. In  this case, send value in ASCII as 'B'.</t>
  </si>
  <si>
    <t xml:space="preserve">Slave1 Pretrip Counts </t>
  </si>
  <si>
    <t>Slave 1 Protections 
CP1, CP2, IT1, IT2</t>
  </si>
  <si>
    <t xml:space="preserve">Slave2 Pretrip Counts </t>
  </si>
  <si>
    <t>Slave 2 Protections 
CP1, CP2, IT1, IT2</t>
  </si>
  <si>
    <t xml:space="preserve">Slave3 Pretrip Counts </t>
  </si>
  <si>
    <t>Slave 3 Protections 
CP1, CP2, IT1, IT2</t>
  </si>
  <si>
    <t>Reserved Bytes</t>
  </si>
  <si>
    <t xml:space="preserve"> 'X'</t>
  </si>
  <si>
    <t>Master: Comp1 Oil Level (%)</t>
  </si>
  <si>
    <t>Data to sent in ASCII Format
ASCII- 0 to 9 &amp; : 
0=0%
1=10%
.
9=90%
:=100%</t>
  </si>
  <si>
    <t>Master: Comp2 Oil Level (%)</t>
  </si>
  <si>
    <t>Slave1: Comp1 Oil Level (%)</t>
  </si>
  <si>
    <t>Slave1: Comp2 Oil Level (%)</t>
  </si>
  <si>
    <t>Slave2: Comp1 Oil Level (%)</t>
  </si>
  <si>
    <t>Slave2: Comp2 Oil Level (%)</t>
  </si>
  <si>
    <t>Slave3: Comp1 Oil Level (%)</t>
  </si>
  <si>
    <t>Slave3: Comp2 Oil Level (%)</t>
  </si>
  <si>
    <t>Master: Comp Drive 1 FW version</t>
  </si>
  <si>
    <t>(01-256)d=(01-FF)h
Unsigned Char</t>
  </si>
  <si>
    <t>Master: Comp Drive 2 FW version</t>
  </si>
  <si>
    <t>Slave1: Comp Drive 1 FW version</t>
  </si>
  <si>
    <t>Slave1: Comp Drive 2 FW version</t>
  </si>
  <si>
    <t>Slave2: Comp Drive 1 FW version</t>
  </si>
  <si>
    <t>Slave2: Comp Drive 2 FW version</t>
  </si>
  <si>
    <t>Slave3: Comp Drive 1 FW version</t>
  </si>
  <si>
    <t>Slave3: Comp Drive 2 FW version</t>
  </si>
  <si>
    <t>IDU1</t>
  </si>
  <si>
    <t>IDU mode</t>
  </si>
  <si>
    <t>0x30=Fan                                                                               0x31=Heat                                                                           0x32=Cool                                                                                  0x33=Dry
Unsigned Char</t>
  </si>
  <si>
    <t>IDU status</t>
  </si>
  <si>
    <t xml:space="preserve">IDU error code </t>
  </si>
  <si>
    <t>Range:(U0-UF)=(0x55,0x30-0x55,0x46)ASCII
Unsigned Char</t>
  </si>
  <si>
    <t>The errors can be any ODU error as well other than U0-UF</t>
  </si>
  <si>
    <t>DCL</t>
  </si>
  <si>
    <t>Range:(0-101)d=(0x30,0x30-0x36,0x35)ASCII
Unsigned Char</t>
  </si>
  <si>
    <t>DeltaT</t>
  </si>
  <si>
    <t xml:space="preserve">1 byte for polarity                                                                                ‘+’ = Positive                                                                                        ‘-‘ = Negative                                                                                         2 bytes for Value                                                                     Decimal range 0.0 to 5.0         (give dec point frm pc by/10)                                                      For communication range is 0 to 50                                           (0x30,0x30-0x33,0x32)ASCII
1st Byte sign
3 Bytes Unsigned Int     </t>
  </si>
  <si>
    <t>Troom</t>
  </si>
  <si>
    <t xml:space="preserve">Temperature Range:-15.0 to 60.0                                                                        1 byte for polarity
‘+’ = Positive = 0x2B
 ‘-‘ = Negative = 0x2D                                                                           3 bytes for value                                                                    Decimal range : 0.0 to 140.0
Range: (0 to 1400)d=(0 to 0x578)h   give dec point frm pc by/10 
(0x30,0x30,0x30 – 0x35,0x37,0x38)
1st Byte sign
3 Bytes Unsigned Int                                                           </t>
  </si>
  <si>
    <t>Tliq</t>
  </si>
  <si>
    <t>IDU capacity</t>
  </si>
  <si>
    <t>0x31 = '1' = 2.8Kw
0x32 = '2' = 3.5Kw
0x33 = '3' = 4.6Kw
0x34 = '4' = 5.3Kw
0x35 = '5' = 7.0Kw
0x36 = '6' = 7.7Kw
0x37 = '7' = 8.8Kw
0x38 = '8' = 10.5Kw
0x39 = '9' = 12.3Kw
0x40 = '@' = 14.1Kw
0x41 = 'A' = 17.6Kw
0x42 = 'B' = 19.3Kw
0x43 = 'C' = 21.1Kw
0x44 = 'D' = 23.9Kw
0x45 = 'E' = 28.1Kw
0x46 = 'F' = 35.2Kw
0x47 = 'G' = 2.3Kw
0x48 = 'H' = 6.0Kw
0x49 = 'I' = 8.1Kw
0x4A = 'J' = 10.0Kw
0x4B = 'K' = 11.3Kw
0x4C = 'L' = 44.0Kw
0x4D = 'M' = 52.7Kw
0x4E = 'N' =  70.3Kw
0x4F = 'O' = 87.9Kw
0x50 = 'P' = 105.5Kw</t>
  </si>
  <si>
    <t>missing : 0x51 = 'Q' = 122.5Kw</t>
  </si>
  <si>
    <t>Model name</t>
  </si>
  <si>
    <t>0x31 = HiWall 2TR                                                          0x32 = Ducted                                                       0x33 = 4Way                                                                0x34 = Mini 4Way                                                     0x35 = Ceiling Concealed                                        0x36 = Floor                                                             0x37 = TFA                                                              0x38 = Heat Recovery                              0x39 = HiWall 1.5TR</t>
  </si>
  <si>
    <t>1 - Hiwall
2 - Ducted
3 - 4 way large cst
4 - compact
5 - ceiling concealed
6 - floor mount
7 - TFA
8 - Heat recovery
9 - One way
A - 2 way cst</t>
  </si>
  <si>
    <t>Tsupply</t>
  </si>
  <si>
    <t>Tgas</t>
  </si>
  <si>
    <t>Thermostat on/off</t>
  </si>
  <si>
    <t>Set Fan Speed by ODU</t>
  </si>
  <si>
    <t>0x30 = Stop
0x31 = LL
0x32 = L
0x33 =M
0x34 = H
0x35 = Free
Unsigned Char</t>
  </si>
  <si>
    <t>Actual Fan Speed</t>
  </si>
  <si>
    <t>user set</t>
  </si>
  <si>
    <t>Range: (0-30)d=(0x30,0x30-0x31,0x45)ASCII
Unsigned Char</t>
  </si>
  <si>
    <t>pump on/off</t>
  </si>
  <si>
    <t xml:space="preserve">flap position </t>
  </si>
  <si>
    <t>0x30 = Swing
0x31 = F1
0x32 = F2
0x33 = F3
0x34 = F4
0x35 = F5
Unsigned Char</t>
  </si>
  <si>
    <t>swing on/off</t>
  </si>
  <si>
    <t>EXV step of IDU</t>
  </si>
  <si>
    <t xml:space="preserve">Decimal Range : -520 to 520                                                    Total 5bytes1 for polarity                                                                  +’ = Positive                                                                                         ‘-‘ = Negative                                                                                      'a' = absolute                                                                                      And4 bytes for value                                                                  Range:(0 to520)d=(0-208)h                                       (0x30x30,0x30,0x30 – 0x32,0x30,0x38)ASCII
1st Byte sign
4 Bytes Unsigned Int     </t>
  </si>
  <si>
    <t>delta Tcoil</t>
  </si>
  <si>
    <t xml:space="preserve">Decimal range: -20.0 to 30.0 °C with resolution of 0.5        Total 4 bytes1 byte for polarity‘                                                       +’ = Positive                                                                                         ‘-‘ = Negative                                                                                          And3 bytes for value                                                                Range: 0.0 to 30.0                                                                            (0 to 300)d=(0-12C)h                                                        (0x30,0x30,0x30 to 0x31,0x32,0x43)ASCII
1st Byte sign
3 Bytes Unsigned Int     </t>
  </si>
  <si>
    <t>Set Fan Speed By IDU</t>
  </si>
  <si>
    <t>0x30 = Stop
0x31 = LL
0x32 = L
0x33 = M
0x34 = H
0x35 = Free
Unsigned Char</t>
  </si>
  <si>
    <t>IDU 1 min OFF</t>
  </si>
  <si>
    <t>Door Key Status</t>
  </si>
  <si>
    <t>IDU Program Version</t>
  </si>
  <si>
    <t>IDU on Lock</t>
  </si>
  <si>
    <t>0x30 = Unlocked                                                               0x31 = Locked
Bool</t>
  </si>
  <si>
    <t>IDU off Lock</t>
  </si>
  <si>
    <t>IDU Mode Lock</t>
  </si>
  <si>
    <t>IDU Temp Lock</t>
  </si>
  <si>
    <t>Start Time</t>
  </si>
  <si>
    <t>2Byte for Hour                                   2Byte for Minute
Unsigned int</t>
  </si>
  <si>
    <t>End Time</t>
  </si>
  <si>
    <t>Sleep Mode</t>
  </si>
  <si>
    <t>0x30 = OFF                                0x31 = ON
Bool</t>
  </si>
  <si>
    <t>Drain Pump Lock</t>
  </si>
  <si>
    <t>Door Key Lock</t>
  </si>
  <si>
    <t>IDU Future bytes</t>
  </si>
  <si>
    <t>IDU2</t>
  </si>
  <si>
    <t>All 63 Bytes are same as IDU1</t>
  </si>
  <si>
    <t>IDU3</t>
  </si>
  <si>
    <t>IDU4</t>
  </si>
  <si>
    <t>IDU5</t>
  </si>
  <si>
    <t>IDU6</t>
  </si>
  <si>
    <t>IDU7</t>
  </si>
  <si>
    <t>IDU8</t>
  </si>
  <si>
    <t>IDU9</t>
  </si>
  <si>
    <t>IDU10</t>
  </si>
  <si>
    <t>IDU11</t>
  </si>
  <si>
    <t>IDU12</t>
  </si>
  <si>
    <t>IDU13</t>
  </si>
  <si>
    <t>IDU14</t>
  </si>
  <si>
    <t>IDU15</t>
  </si>
  <si>
    <t>IDU16</t>
  </si>
  <si>
    <t>IDU17</t>
  </si>
  <si>
    <t>IDU18</t>
  </si>
  <si>
    <t>IDU19</t>
  </si>
  <si>
    <t>IDU20</t>
  </si>
  <si>
    <t>IDU21</t>
  </si>
  <si>
    <t>IDU22</t>
  </si>
  <si>
    <t>IDU23</t>
  </si>
  <si>
    <t>IDU24</t>
  </si>
  <si>
    <t>IDU25</t>
  </si>
  <si>
    <t>IDU26</t>
  </si>
  <si>
    <t>IDU27</t>
  </si>
  <si>
    <t>IDU28</t>
  </si>
  <si>
    <t>IDU29</t>
  </si>
  <si>
    <t>IDU30</t>
  </si>
  <si>
    <t>IDU31</t>
  </si>
  <si>
    <t>IDU32</t>
  </si>
  <si>
    <t>IDU33</t>
  </si>
  <si>
    <t>IDU34</t>
  </si>
  <si>
    <t>IDU35</t>
  </si>
  <si>
    <t>IDU36</t>
  </si>
  <si>
    <t>IDU37</t>
  </si>
  <si>
    <t>IDU38</t>
  </si>
  <si>
    <t>IDU39</t>
  </si>
  <si>
    <t>IDU40</t>
  </si>
  <si>
    <t>IDU41</t>
  </si>
  <si>
    <t>IDU42</t>
  </si>
  <si>
    <t>IDU43</t>
  </si>
  <si>
    <t>IDU44</t>
  </si>
  <si>
    <t>IDU45</t>
  </si>
  <si>
    <t>IDU46</t>
  </si>
  <si>
    <t>IDU47</t>
  </si>
  <si>
    <t>IDU48</t>
  </si>
  <si>
    <t>IDU49</t>
  </si>
  <si>
    <t>IDU50</t>
  </si>
  <si>
    <t>IDU51</t>
  </si>
  <si>
    <t>IDU52</t>
  </si>
  <si>
    <t>IDU53</t>
  </si>
  <si>
    <t>IDU54</t>
  </si>
  <si>
    <t>IDU55</t>
  </si>
  <si>
    <t>IDU56</t>
  </si>
  <si>
    <t>IDU57</t>
  </si>
  <si>
    <t>IDU58</t>
  </si>
  <si>
    <t>IDU59</t>
  </si>
  <si>
    <t>IDU60</t>
  </si>
  <si>
    <t>IDU61</t>
  </si>
  <si>
    <t>IDU62</t>
  </si>
  <si>
    <t>(1-60)d=(1-3C)h=(0x30,0x30 to 0x33,0x43)ASCII
Unsigned Char</t>
  </si>
  <si>
    <t>For Engineering data 'E' = 0x45                                                   For User data           'U' = 0x55</t>
  </si>
  <si>
    <t>Range:(0-256)d=(0-FF)h=(0x30,0x30-0x46,0x46)ASCII
Unsigned Char</t>
  </si>
  <si>
    <t>16 bit CRC calculated from including * and converted to 4 byte ASCII hex for transmission 
Unsigned int</t>
  </si>
  <si>
    <t>Total No of Bytes</t>
  </si>
  <si>
    <t>Command Frame From PC Monitoring to ODU Master of System for User Data</t>
  </si>
  <si>
    <t>* |  P| C | Frame Count | Syatem ID | Command | Data Type(U) | Protocol Version | CRC| #</t>
  </si>
  <si>
    <t xml:space="preserve">For User data 'U' = 0x55                                                 </t>
  </si>
  <si>
    <t>Reply Send from ODU Master of System to PC Monitoring for User Data</t>
  </si>
  <si>
    <t>* |  M| D | XXI | System Data | Syatem ID| Data Type(U) | Protocol Version no | CRC| #</t>
  </si>
  <si>
    <t xml:space="preserve">D </t>
  </si>
  <si>
    <t>ODU Capacity</t>
  </si>
  <si>
    <t xml:space="preserve">0x30  = '0' = 0                                                                                         0x31 = '1' = 12 HP(35.2kw)                                                                0x32 = '2' = 14 HP(40.8kw)                                                                0x33 = '3' = 16 HP(46.9kw)                                                                0x34 = '4' = 18 HP(52.8kw)                                                                 0x35 = '5' = 21 HP(61.2kw)                                                                0x36 = '6' = 24 HP(70.4kw)        
0x37 = '7' = 6 HP
0x38 = '8' = 7HP  
Unsigned Char
For SIAM
0x30 = '0' = 0 HP					
0x31 = '1' = 7 HP					
0x32 = '2' = 8 HP					
0x33 = '3' = 10 HP					
0x34 = '4' = 12 HP					
0x35 = '5' = 14 HP					
0x36 = '6' = 16 HP					
0x37 = '7' = 18 HP					
0x38 = '8' = 20 HP					
0x39 = '9' = 22 HP					
0x43 = 'C' = 24 HP					
0x44 = 'D' = 26 HP					
0x45 = 'E' = 28 HP                                                                                                                            </t>
  </si>
  <si>
    <t xml:space="preserve">Temperature Range:-15.0 to 60.0                                                                        1 byte for polarity
‘+’ = Positive = 0x2B
 ‘-‘ = Negative = 0x2D                                                                           3 bytes for value                                                                    Decimal range : 0.0 to 140.0
Range: (0 to 1400)d=(0 to 0x578)h give dec point frm pc by/10 
(0x30,0x30,0x30 – 0x35,0x37,0x38)
1st Byte sign
3 Bytes Unsigned Int                                               </t>
  </si>
  <si>
    <t xml:space="preserve">Temperature Range:-15.0 to 60.0                                                                        1 byte for polarity
‘+’ = Positive = 0x2B
 ‘-‘ = Negative = 0x2D                                                                           3 bytes for value                                                                    Decimal range : 0.0 to 140.0
Range: (0 to 1400)d=(0 to 0x578)h   give dec point frm pc by/10 
(0x30,0x30,0x30 – 0x35,0x37,0x38) 
1st Byte sign
3 Bytes Unsigned Int                                                     </t>
  </si>
  <si>
    <t xml:space="preserve">Temperature Range:-15.0 to 60.0                                                                        1 byte for polarity
‘+’ = Positive = 0x2B
 ‘-‘ = Negative = 0x2D                                                                           3 bytes for value                                                              Decimal range : 0.0 to 140.0
Range: (0 to 1400)d=(0 to 0x578)h give dec point frm pc by/10 
(0x30,0x30,0x30 – 0x35,0x37,0x38) 
1st Byte sign
3 Bytes Unsigned Int                                                     </t>
  </si>
  <si>
    <t xml:space="preserve">Temperature Range:-15.0 to 60.0                                                                        1 byte for polarity
‘+’ = Positive = 0x2B
 ‘-‘ = Negative = 0x2D                                                                           3 bytes for value                                                              Decimal range : 0.0 to 140.0
Range: (0 to 1400)d=(0 to 0x578)h give dec point frm pc by/10 
(0x30,0x30,0x30 – 0x35,0x37,0x38)
1st Byte sign
3 Bytes Unsigned Int                                                      </t>
  </si>
  <si>
    <t>Fix1</t>
  </si>
  <si>
    <t>Fix2</t>
  </si>
  <si>
    <t>Range (0-64)d=(0-40)h=(0x30,0x30-0x34,0x30)ASCII    
Unsigned char</t>
  </si>
  <si>
    <t>SUMkw ODU</t>
  </si>
  <si>
    <t>SUMkw IDU</t>
  </si>
  <si>
    <t>0x30 = Off                                                                          0x31 = Heat                                                                        0x32 = Cool                                                                         0x33 = Free
Unsigned Char</t>
  </si>
  <si>
    <t xml:space="preserve">  For Example                                                                  C4=0x43,0x34                                                                    E1=0x45,0x31                                                                                    F2=0x46,0x32                                                                                   U4=0x55,0x34         
Unsigned char                                                                       </t>
  </si>
  <si>
    <t xml:space="preserve">  For Example                                                                  C4=0x43,0x34                                                                    E1=0x45,0x31                                                                                    F2=0x46,0x32                                                                                   U4=0x55,0x34       
Unsigned char                                                                         </t>
  </si>
  <si>
    <t xml:space="preserve">  For Example                                                                  C4=0x43,0x34                                                                    E1=0x45,0x31                                                                                    F2=0x46,0x32                                                                                   U4=0x55,0x34        
Unsigned char                                                                        </t>
  </si>
  <si>
    <t>No of Slaves</t>
  </si>
  <si>
    <t>0x31 = 1
0x32 = 2
0x33 = 3 
Unsigned char</t>
  </si>
  <si>
    <t>ODU Future bytes</t>
  </si>
  <si>
    <t>0x30=Fan                                                                               0x31=Heat                                                                           0x32=Cool                                                                                  0x33=Dry
Unsigned char</t>
  </si>
  <si>
    <t>Range:(U0-UF)=(0x55,0x30-0x55,0x46)ASCII
Unsigned char</t>
  </si>
  <si>
    <t xml:space="preserve">Temperature Range:-15.0 to 60.0                                                                        1 byte for polarity
‘+’ = Positive = 0x2B
 ‘-‘ = Negative = 0x2D                                                                           3 bytes for value                                                                    Decimal range : 0.0 to 140.0
Range: (0 to 1400)d=(0 to 0x578)h   give dec point frm pc by/10 
(0x30,0x30,0x30 – 0x35,0x37,0x38) 
1st Byte sign
3 Bytes Unsigned Int                                                      </t>
  </si>
  <si>
    <t>0x31 = '1' = 2.8Kw
0x32 = '2' = 3.5Kw
0x33 = '3' = 4.6Kw
0x34 = '4' = 5.3Kw
0x35 = '5' = 7.0Kw
0x36 = '6' = 7.7Kw
0x37 = '7' = 8.8Kw
0x38 = '8' = 10.5Kw
0x39 = '9' = 12.3Kw
0x40 = '@' = 14.1Kw
0x41 = 'A' = 17.6Kw
0x42 = 'B' = 19.3Kw
0x43 = 'C' = 21.1Kw
0x44 = 'D' = 23.9Kw
0x45 = 'E' = 28.1Kw
0x46 = 'F' = 35.2Kw
0x47 = 'G' = 2.3Kw
0x48 = 'H' = 6.0Kw
0x49 = 'I' = 8.1Kw
0x4A = 'J' = 10.0Kw
0x4B = 'K' = 11.3Kw
0x4C = 'L' = 44.0Kw
0x4D = 'M' = 52.7Kw
0x4E = 'N' =  70.3Kw
0x4F = 'O' = 87.9Kw
0x50 = 'P' = 105.5Kw
Unsigned char</t>
  </si>
  <si>
    <t>Set Fan Speed</t>
  </si>
  <si>
    <t>0x30 = Stop
0x31 = LL
0x32 = L
0x33 =M
0x34 = H
0x35 = Free
Unsigned char</t>
  </si>
  <si>
    <t>Range: (0-30)d=(0x30,0x30-0x31,0x45)ASCII
Unsigned char</t>
  </si>
  <si>
    <t xml:space="preserve">0x30 = Swing                                                              0x31 = F1                                                                              0x32 = F2                                                                              0x33 = F3                                                                               0x34 = F4                                                                               0x35 = F5                   
Unsigned char                                               </t>
  </si>
  <si>
    <t>All 28 Bytes are same as IDU1</t>
  </si>
  <si>
    <t>(1-60)d=(1-3C)h=(0x30,0x30 to 0x33,0x43)ASCII
Unsigned char</t>
  </si>
  <si>
    <t>Data Type = U</t>
  </si>
  <si>
    <t>Range:(0-256)d=(0-FF)h=(0x30,0x30-0x46,0x46)ASCII
Unsigned char</t>
  </si>
  <si>
    <t>* |  P| B | Frame Count | Data |  Protocol Version | CRC| #</t>
  </si>
  <si>
    <t xml:space="preserve">NOTE:
1. for Slave1 &amp; Slave2, 
  1) PERF, 
  2)CHKM , 
  3)SLTM , 
  4)SLTL , 
  5)DMDL parameters are not used.
     So, keep these parameter text boxes disabled in PC software.
     And send 0x30 for above parameters in protocol bytes which will be ignored while data processing at Slave ODU.
2. By default, mode selection for every parameter is Auto.
</t>
  </si>
  <si>
    <t>B</t>
  </si>
  <si>
    <t>Broadcast Frame</t>
  </si>
  <si>
    <t>O</t>
  </si>
  <si>
    <t xml:space="preserve">O=ODU </t>
  </si>
  <si>
    <t>P=Parameters</t>
  </si>
  <si>
    <t>System1</t>
  </si>
  <si>
    <t xml:space="preserve">If Bit=1 then ODU State=Active
If Bit=0 then ODU State=Inactive
Bit 0-&gt; ODUm State
Bit 1-&gt; Slave1 State
Bit 2-&gt; Slave2 State
Bit 3-&gt; 0
e.g. if ODUm &amp; Slave2 Active
       then D1=0x05
       D1=0x35(ASCII)
</t>
  </si>
  <si>
    <t>System2</t>
  </si>
  <si>
    <t xml:space="preserve">Bit 0-&gt; ODUm State
Bit 1-&gt; Slave1 State
Bit 2-&gt; Slave2 State
Bit 3-&gt; 0
</t>
  </si>
  <si>
    <t>System3</t>
  </si>
  <si>
    <t>System4</t>
  </si>
  <si>
    <t>System5</t>
  </si>
  <si>
    <t>System6</t>
  </si>
  <si>
    <t>System7</t>
  </si>
  <si>
    <t>System8</t>
  </si>
  <si>
    <t>System9</t>
  </si>
  <si>
    <t>System10</t>
  </si>
  <si>
    <t>System11</t>
  </si>
  <si>
    <t>System12</t>
  </si>
  <si>
    <t>System13</t>
  </si>
  <si>
    <t>System14</t>
  </si>
  <si>
    <t>System15</t>
  </si>
  <si>
    <t>System16</t>
  </si>
  <si>
    <t>System17</t>
  </si>
  <si>
    <t>System18</t>
  </si>
  <si>
    <t>System19</t>
  </si>
  <si>
    <t>System20</t>
  </si>
  <si>
    <t>System21</t>
  </si>
  <si>
    <t>System22</t>
  </si>
  <si>
    <t>System23</t>
  </si>
  <si>
    <t>System24</t>
  </si>
  <si>
    <t>System25</t>
  </si>
  <si>
    <t>System26</t>
  </si>
  <si>
    <t>System27</t>
  </si>
  <si>
    <t>System28</t>
  </si>
  <si>
    <t>System29</t>
  </si>
  <si>
    <t>System30</t>
  </si>
  <si>
    <t>System31</t>
  </si>
  <si>
    <t>System32</t>
  </si>
  <si>
    <t>System33</t>
  </si>
  <si>
    <t>System34</t>
  </si>
  <si>
    <t>System35</t>
  </si>
  <si>
    <t>System36</t>
  </si>
  <si>
    <t>System37</t>
  </si>
  <si>
    <t>System38</t>
  </si>
  <si>
    <t>System39</t>
  </si>
  <si>
    <t>System40</t>
  </si>
  <si>
    <t>System41</t>
  </si>
  <si>
    <t>System42</t>
  </si>
  <si>
    <t>System43</t>
  </si>
  <si>
    <t>System44</t>
  </si>
  <si>
    <t>System45</t>
  </si>
  <si>
    <t>System46</t>
  </si>
  <si>
    <t>System47</t>
  </si>
  <si>
    <t>System48</t>
  </si>
  <si>
    <t>System49</t>
  </si>
  <si>
    <t>System50</t>
  </si>
  <si>
    <t>System51</t>
  </si>
  <si>
    <t>System52</t>
  </si>
  <si>
    <t>System53</t>
  </si>
  <si>
    <t>System54</t>
  </si>
  <si>
    <t>System55</t>
  </si>
  <si>
    <t>System56</t>
  </si>
  <si>
    <t>System57</t>
  </si>
  <si>
    <t>System58</t>
  </si>
  <si>
    <t>System59</t>
  </si>
  <si>
    <t>System60</t>
  </si>
  <si>
    <t>Set RPS</t>
  </si>
  <si>
    <t>to Set 80 RPS for INV 1, Set RPS = 180
to Set 80 RPS for INV 2, Set RPS = 280
to Set 80 RPS for INV 1 and INV2, Set RPS = 380
to Set 80 RPS for INV1 and 0 RPS for INV2, Set RPS = 480</t>
  </si>
  <si>
    <t>To set Auto mode for INV 1, Set RPS = 1
To set Auto mode for INV 2, Set RPS = 2
To set Auto mode for INV 1 and INV 2, Set RPS = (500-999)
to Set 80 RPS for INV 1, Set RPS = 180
to Set 80 RPS for INV 2, Set RPS = 280
to Set 80 RPS for INV 1 and INV2, Set RPS = 380
to Set 80 RPS for INV1 and 0 RPS for INV2, Set RPS = 480</t>
  </si>
  <si>
    <t>RPS Mode</t>
  </si>
  <si>
    <t>0x30 = Auto,0x31 = Manual</t>
  </si>
  <si>
    <t>SV6</t>
  </si>
  <si>
    <t>0x30 = OFF                                                                      0x31 = ON</t>
  </si>
  <si>
    <t>SV6 Mode</t>
  </si>
  <si>
    <t>SV7</t>
  </si>
  <si>
    <t>SV7 Mode</t>
  </si>
  <si>
    <t>4W V Mode</t>
  </si>
  <si>
    <t>SORV Mode</t>
  </si>
  <si>
    <t>OPOV Mode</t>
  </si>
  <si>
    <t>ORCV Mode</t>
  </si>
  <si>
    <t>LIBA Mode</t>
  </si>
  <si>
    <t>LIA1 Mode</t>
  </si>
  <si>
    <t>Reserved</t>
  </si>
  <si>
    <t>Commissioning Mode</t>
  </si>
  <si>
    <t>Commissioning Mode Mode</t>
  </si>
  <si>
    <t>MLQV Mode</t>
  </si>
  <si>
    <t>HOTD Mode</t>
  </si>
  <si>
    <t>EXV 1</t>
  </si>
  <si>
    <t>Decimal Range : (0 – 520)d=(0-208)h                                                                 (0x30,0x30,0x30 – 0x32,0x30,0x38)ASCII</t>
  </si>
  <si>
    <t>Range required (0-3000)d</t>
  </si>
  <si>
    <t>EXV 1 Mode</t>
  </si>
  <si>
    <t xml:space="preserve">Range (0-64)d=(0-40)h=(0x30,0x30-0x34,0x30)ASCII    </t>
  </si>
  <si>
    <t>IDUqty Mode</t>
  </si>
  <si>
    <t>PERF Mode</t>
  </si>
  <si>
    <t>CHKM Mode</t>
  </si>
  <si>
    <t>SLT DMD Mode</t>
  </si>
  <si>
    <t>SLT / DMD</t>
  </si>
  <si>
    <t>0x30 = SLT,0x31 = DMD</t>
  </si>
  <si>
    <t>SLT / DMD Active</t>
  </si>
  <si>
    <t>0x30 = Disable                                                                      0x31 = ON for 24 Hours
0x32 = Starts for 9 Hours from SLT/DMD Time</t>
  </si>
  <si>
    <t>SLT / DMD Time</t>
  </si>
  <si>
    <t>00H to 17H i.e 00 to 23 Hours</t>
  </si>
  <si>
    <t>SLT / DMD Level</t>
  </si>
  <si>
    <t>For Silent Mode -
0x30 = Low
0x31 = High
For Demand Mode -
0x30 = 75% Demand Level 0
0x31 = 50% Demand Level 1
0x32 = 25% Demand Level 2
0x33 = 0% Demand Level 3</t>
  </si>
  <si>
    <t>ODU Test MODE</t>
  </si>
  <si>
    <t>0x30 = OFF,0x31 = ON</t>
  </si>
  <si>
    <t>FanSp</t>
  </si>
  <si>
    <t>Range: (0=11)d=(0-B)h=(0x30,0x42)ASCII</t>
  </si>
  <si>
    <t>Range should be (0-12)</t>
  </si>
  <si>
    <t>FanSp Mode</t>
  </si>
  <si>
    <t>Set Date</t>
  </si>
  <si>
    <t>Byte1 = D                                                                                    Byte2 = D                                                                                 Byte3 = M                                                                                 Byte4 = M                                                                                   Byte5 = Y                                                                                  Byte6 = Y                                                                                  Byte7 = Y                                                                                  Byte8 = Y</t>
  </si>
  <si>
    <t>Set Date Mode</t>
  </si>
  <si>
    <t>Set Time</t>
  </si>
  <si>
    <t xml:space="preserve">Byte1 = H                                                                                    Byte2 = H                                                                                 Byte3 = M                                                                                 Byte4 = M                                                                                   Byte5 = S                                                                                  Byte6 = S                                                                                  </t>
  </si>
  <si>
    <t>Set Time Mode</t>
  </si>
  <si>
    <t>EXV 2</t>
  </si>
  <si>
    <t>EXV 2 Mode</t>
  </si>
  <si>
    <r>
      <rPr>
        <sz val="9"/>
        <rFont val="Arial"/>
      </rPr>
      <t xml:space="preserve">NOTE:
1. for Slave1 &amp; Slave2, 
  1) PERF, 
  2)CHKM , 
  3)SLTM , 
  4)SLTL , 
  5)DMDL parameters are not used.
     So, keep these parameter text boxes disabled in PC software.
     And send 0x30 for above parameters in protocol bytes which will be ignored while data processing at Slave ODU.
2. By default, mode selection for every parameter is Auto.
</t>
    </r>
    <r>
      <rPr>
        <b/>
        <sz val="9"/>
        <color rgb="FFFFC000"/>
        <rFont val="Arial"/>
      </rPr>
      <t>3. The IVRF ODU Parameters should be of length 147 bytes. It is implemented in IVRF 4+, IVRF 5+, IVRF 6th Gen and it is also implemented in Service tool.</t>
    </r>
  </si>
  <si>
    <t>I</t>
  </si>
  <si>
    <t xml:space="preserve">I = IDU = 0x49 </t>
  </si>
  <si>
    <t>P = Parameters = 0x50</t>
  </si>
  <si>
    <t>System Identifier</t>
  </si>
  <si>
    <t>S</t>
  </si>
  <si>
    <t>System1 ID</t>
  </si>
  <si>
    <t>(01)d=(01h)=(0x30,0x31)</t>
  </si>
  <si>
    <t>IDU1 to IDU8</t>
  </si>
  <si>
    <t>If Bit=1 then IDU State=Active
If Bit=0 then IDU State=Inactive
Bit 0-&gt; IDU1 State
Bit 1-&gt; IDU2 State
Bit 2-&gt; IDU3 State
Bit 3-&gt; IDU4 State
Bit 4-&gt; IDU5 State
Bit 5-&gt; IDU6 State
Bit 6-&gt; IDU7 State
Bit 7-&gt; IDU8 State
e.g. if IDU 1,4,5 &amp; 8 are Active
      then Byte=0x99
     99h=0x39,0x39 (ASCII)
     D4=0x39
     D5=0x39</t>
  </si>
  <si>
    <t>IDU9 to IDU16</t>
  </si>
  <si>
    <t>Bit 0-&gt; IDU9 State
Bit 1-&gt; IDU10 State
Bit 2-&gt; IDU11State
Bit 3-&gt; IDU12 State
Bit 4-&gt; IDU13 State
Bit 5-&gt; IDU14 State
Bit 6-&gt; IDU15 State
Bit 7-&gt; IDU16 State</t>
  </si>
  <si>
    <t>IDU17 to IDU24</t>
  </si>
  <si>
    <t>Bit 0-&gt; IDU17 State
Bit 1-&gt; IDU18 State
Bit 2-&gt; IDU19State
Bit 3-&gt; IDU20 State
Bit 4-&gt; IDU21 State
Bit 5-&gt; IDU22 State
Bit 6-&gt; IDU23 State
Bit 7-&gt; IDU24 State</t>
  </si>
  <si>
    <t>IDU25 to IDU32</t>
  </si>
  <si>
    <t>Bit 0-&gt; IDU25 State
Bit 1-&gt; IDU26 State
Bit 2-&gt; IDU27State
Bit 3-&gt; IDU28 State
Bit 4-&gt; IDU29 State
Bit 5-&gt; IDU30 State
Bit 6-&gt; IDU31 State
Bit 7-&gt; IDU32 State</t>
  </si>
  <si>
    <t>IDU33 to IDU40</t>
  </si>
  <si>
    <t>Bit 0-&gt; IDU33 State
Bit 1-&gt; IDU34 State
Bit 2-&gt; IDU35State
Bit 3-&gt; IDU36 State
Bit 4-&gt; IDU37 State
Bit 5-&gt; IDU38 State
Bit 6-&gt; IDU39 State
Bit 7-&gt; IDU40 State</t>
  </si>
  <si>
    <t>IDU41 to IDU48</t>
  </si>
  <si>
    <t>Bit 0-&gt; IDU41 State
Bit 1-&gt; IDU42 State
Bit 2-&gt; IDU43State
Bit 3-&gt; IDU44 State
Bit 4-&gt; IDU45 State
Bit 5-&gt; IDU46 State
Bit 6-&gt; IDU47 State
Bit 7-&gt; IDU48 State</t>
  </si>
  <si>
    <t>IDU49 to IDU56</t>
  </si>
  <si>
    <t>Bit 0-&gt; IDU49 State
Bit 1-&gt; IDU50 State
Bit 2-&gt; IDU51State
Bit 3-&gt; IDU52 State
Bit 4-&gt; IDU53 State
Bit 5-&gt; IDU54 State
Bit 6-&gt; IDU55 State
Bit 7-&gt; IDU56 State</t>
  </si>
  <si>
    <t>IDU57 to IDU62</t>
  </si>
  <si>
    <t>Bit 0-&gt; IDU57 State
Bit 1-&gt; IDU58 State
Bit 2-&gt; IDU59State
Bit 3-&gt; IDU60 State
Bit 4-&gt; IDU61 State
Bit 5-&gt; IDU62 State
Bit 6-&gt; X -Don’t care
Bit 7-&gt; X -Don’t care</t>
  </si>
  <si>
    <t>System ID = 02</t>
  </si>
  <si>
    <t>System ID = 03</t>
  </si>
  <si>
    <t>System ID = 04</t>
  </si>
  <si>
    <t>System ID = 05</t>
  </si>
  <si>
    <t>System ID = 06</t>
  </si>
  <si>
    <t>System ID = 07</t>
  </si>
  <si>
    <t>System ID = 08</t>
  </si>
  <si>
    <t>System ID = 09</t>
  </si>
  <si>
    <t>System ID = 10</t>
  </si>
  <si>
    <t>System ID = 11</t>
  </si>
  <si>
    <t>System ID = 12</t>
  </si>
  <si>
    <t>System ID = 13</t>
  </si>
  <si>
    <t>System ID = 14</t>
  </si>
  <si>
    <t>System ID = 15</t>
  </si>
  <si>
    <t>System ID = 16</t>
  </si>
  <si>
    <t>System ID = 17</t>
  </si>
  <si>
    <t>System ID = 18</t>
  </si>
  <si>
    <t>System ID = 19</t>
  </si>
  <si>
    <t>System ID = 20</t>
  </si>
  <si>
    <t>System ID = 21</t>
  </si>
  <si>
    <t>System ID = 22</t>
  </si>
  <si>
    <t>System ID = 23</t>
  </si>
  <si>
    <t>System ID = 24</t>
  </si>
  <si>
    <t>System ID = 25</t>
  </si>
  <si>
    <t>System ID = 26</t>
  </si>
  <si>
    <t>System ID = 27</t>
  </si>
  <si>
    <t>System ID = 28</t>
  </si>
  <si>
    <t>System ID = 29</t>
  </si>
  <si>
    <t>System ID = 30</t>
  </si>
  <si>
    <t>System ID = 31</t>
  </si>
  <si>
    <t>System ID = 32</t>
  </si>
  <si>
    <t>System ID = 33</t>
  </si>
  <si>
    <t>System ID = 34</t>
  </si>
  <si>
    <t>System ID = 35</t>
  </si>
  <si>
    <t>System ID = 36</t>
  </si>
  <si>
    <t>System ID = 37</t>
  </si>
  <si>
    <t>System ID = 38</t>
  </si>
  <si>
    <t>System ID = 39</t>
  </si>
  <si>
    <t>System ID = 40</t>
  </si>
  <si>
    <t>System ID = 41</t>
  </si>
  <si>
    <t>System ID = 42</t>
  </si>
  <si>
    <t>System ID = 43</t>
  </si>
  <si>
    <t>System ID = 44</t>
  </si>
  <si>
    <t>System ID = 45</t>
  </si>
  <si>
    <t>System ID = 46</t>
  </si>
  <si>
    <t>System ID = 47</t>
  </si>
  <si>
    <t>System ID = 48</t>
  </si>
  <si>
    <t>System ID = 49</t>
  </si>
  <si>
    <t>System ID = 50</t>
  </si>
  <si>
    <t>System ID = 51</t>
  </si>
  <si>
    <t>System ID = 52</t>
  </si>
  <si>
    <t>System ID = 53</t>
  </si>
  <si>
    <t>System ID = 54</t>
  </si>
  <si>
    <t>System ID = 55</t>
  </si>
  <si>
    <t>System ID = 56</t>
  </si>
  <si>
    <t>System ID = 57</t>
  </si>
  <si>
    <t>System ID = 58</t>
  </si>
  <si>
    <t>System ID = 59</t>
  </si>
  <si>
    <t>System ID = 60</t>
  </si>
  <si>
    <t>IDU Identifier</t>
  </si>
  <si>
    <t>I  = 0x49</t>
  </si>
  <si>
    <t>IDU MODE</t>
  </si>
  <si>
    <t>0x30=Fan                                                                               0x31=Heat                                                                           0x32=Cool                                                                                  0x33=Dry</t>
  </si>
  <si>
    <t>IDU MODE Mode</t>
  </si>
  <si>
    <t>Tset</t>
  </si>
  <si>
    <t>Range: (0-30)d=(0x30,0x30-0x31,0x45)ASCII</t>
  </si>
  <si>
    <t>Tset Mode</t>
  </si>
  <si>
    <t>Tshift</t>
  </si>
  <si>
    <t>0x30 = -5                                  0x31 = -4                                  0x32 = -3                                     0x33 = -2                                      0x34 = -1                                      0x35 = 0                                      0x36 = 1                                      0x37 = 2                                      0x38 = 3                                     0x39 = 4                                      0x40 = 5</t>
  </si>
  <si>
    <t>Tshift Mode</t>
  </si>
  <si>
    <t>Fan Speed</t>
  </si>
  <si>
    <t>0x30 = Stop
0x31 = LL
0x32 = L
0x33 =M
0x34 = H
0x35 = Free</t>
  </si>
  <si>
    <t>Fan Speed Mode</t>
  </si>
  <si>
    <t>Status ON/OFF</t>
  </si>
  <si>
    <t>0x30 = OFF                                0x31 = ON</t>
  </si>
  <si>
    <t>Status ON/OFF Mode</t>
  </si>
  <si>
    <t>EXV</t>
  </si>
  <si>
    <t>Decimal Range : -520 to 520                                                    Total 5bytes1 for polarity                                                                  +’ = Positive                                                                                         ‘-‘ = Negative                                                                                      'a' = absolute                                                                                      And4 bytes for value                                                                  Range:(0 to520)d=(0-208)h                                       (0x30x30,0x30,0x30 – 0x32,0x30,0x38)ASCII</t>
  </si>
  <si>
    <t>EXV Mode</t>
  </si>
  <si>
    <t>IDU Capacity</t>
  </si>
  <si>
    <t>missing : 0X51='Q'=122.5Kw</t>
  </si>
  <si>
    <t>IDU Capacity Mode</t>
  </si>
  <si>
    <t>Swing</t>
  </si>
  <si>
    <t>0x30 =ON,
0x31 = F1,
0x32 = F2,
0x33 = F3, 
0x34 = F4,
0x35 = F5
0x36 = FL Reset</t>
  </si>
  <si>
    <t>Swing Mode</t>
  </si>
  <si>
    <t>0x30 = Unlocked                                                               0x31 = Locked</t>
  </si>
  <si>
    <t>IDU on Lock Mode</t>
  </si>
  <si>
    <t>IDU off Lock Mode</t>
  </si>
  <si>
    <t>IDU Mode Lock Mode</t>
  </si>
  <si>
    <t>IDU Temp Lock Mode</t>
  </si>
  <si>
    <t>2Byte for Hour                                   2Byte for Minute</t>
  </si>
  <si>
    <t>Start Time Mode</t>
  </si>
  <si>
    <t>End Time Mode</t>
  </si>
  <si>
    <t>Sleep Mode Mode</t>
  </si>
  <si>
    <t>Future bytes</t>
  </si>
  <si>
    <t>Frame From PC Monitoring to ODU Master for Configuration Download Request</t>
  </si>
  <si>
    <t>* |  P| C | Frame Count | Data |  Protocol Version | CRC| #</t>
  </si>
  <si>
    <t xml:space="preserve">C </t>
  </si>
  <si>
    <t>(01 - 60)d=(01- 3C)h=(0x30,0x31 - 0x33,0x43)ASCII</t>
  </si>
  <si>
    <t>For System Configuration Download   02d=(02)h=(0x30,0x32)ASCII</t>
  </si>
  <si>
    <t>Reply From ODU Master to PC Monitoring for Configuration Download</t>
  </si>
  <si>
    <t>* |  M| O | XXI| Data |  Protocol Version | CRC| #</t>
  </si>
  <si>
    <t>M</t>
  </si>
  <si>
    <t>Frame From ODU Master to PC Monitoring</t>
  </si>
  <si>
    <t>Congiguration Data</t>
  </si>
  <si>
    <t>ODU Master Configuration</t>
  </si>
  <si>
    <t>0x30</t>
  </si>
  <si>
    <t>IDU Quantity</t>
  </si>
  <si>
    <t xml:space="preserve">(01-64)d=(01-40)h=(0x30,0x31-0x34,0x30) </t>
  </si>
  <si>
    <t>ODU Quantity</t>
  </si>
  <si>
    <t xml:space="preserve">(1-3)d=(1-3)h=(0x31-0x33) </t>
  </si>
  <si>
    <t>(1-4)d = (1-4)h</t>
  </si>
  <si>
    <t>Yes, if Slave 3 ODU related parameters need to be added</t>
  </si>
  <si>
    <t>ODU Address</t>
  </si>
  <si>
    <t>Silent Mode</t>
  </si>
  <si>
    <t>0x30= Not Effect                                                               0x31= Always ON                                                                  0x32= Select Timer</t>
  </si>
  <si>
    <t>Silent Level</t>
  </si>
  <si>
    <t>0x30=High                                                                            0x31=Low</t>
  </si>
  <si>
    <t>Heat/Cool/Free</t>
  </si>
  <si>
    <t>0x30=FREE                                                                                    0x31=HEAT                                                                       0x32=COOL</t>
  </si>
  <si>
    <t>Comp. Backup</t>
  </si>
  <si>
    <t>0x30=Digital                                                                         0x31=Fix1                                                                            0x32=Fix2                                                                               0x33=ODU</t>
  </si>
  <si>
    <t>Demand Mode</t>
  </si>
  <si>
    <t>0x30= No control                                                                0x31=Always as per level                                             0x32=As per timer</t>
  </si>
  <si>
    <t>Demand Level</t>
  </si>
  <si>
    <t>0x30=0                                                                                      0x31=1                                                                                       0x32=2                                                                                                0x33=3</t>
  </si>
  <si>
    <t>Test (Performance)</t>
  </si>
  <si>
    <t>0x30=0                                                                                       0x31=1                                                                                 0x32=2                                                                                             0x33=3                                                                                       0x34=4</t>
  </si>
  <si>
    <t>Group No.</t>
  </si>
  <si>
    <t>Label</t>
  </si>
  <si>
    <t>Alphanumeric Label of 16 characters                                             (A-Z)=0x41-0x5A                                                                               (a-z)=0x61-0x7A                                                                               (0-9)=0x30-0x39</t>
  </si>
  <si>
    <t>ODU Slave1 Configuration</t>
  </si>
  <si>
    <t>Slave1</t>
  </si>
  <si>
    <t xml:space="preserve"> 0x31</t>
  </si>
  <si>
    <t>0x30=FREE                                                                               0x31=HEAT                                                                           0x32=COOL</t>
  </si>
  <si>
    <t>0x30=Digital                                                                          0x31=Fix1                                                                            0x32=Fix2                                                                             0x33=ODU</t>
  </si>
  <si>
    <t>0x30= No control                                                               0x31=Always as per level                                                    0x32=As per timer</t>
  </si>
  <si>
    <t>0x30=0                                                                                    0x31=1                                                                                      0x32=2                                                                                   0x33=3</t>
  </si>
  <si>
    <t>0x30=0                                                                                            0x31=1                                                                                     0x32=2                                                                                        0x33=3                                                                                          0x34=4</t>
  </si>
  <si>
    <t>Alphanumeric Label of 16 characters                                              (A-Z)=0x41-0x5A                                                                        (a-z)=0x61-0x7A                                                                        (0-9)=0x30-0x39</t>
  </si>
  <si>
    <t>ODU Slave2 Configuration</t>
  </si>
  <si>
    <t>Slave2</t>
  </si>
  <si>
    <t xml:space="preserve"> 0x32</t>
  </si>
  <si>
    <t>0x30=FREE                                                                            0x31=HEAT                                                                           0x32=COOL</t>
  </si>
  <si>
    <t>0x30=Digital                                                                            0x31=Fix1                                                                           0x32=Fix2                                                                          0x33=ODU</t>
  </si>
  <si>
    <t>0x30= No control                                                                          0x31=Always as per level                                                        0x32=As per timer</t>
  </si>
  <si>
    <t>0x30=0                                                                                            0x31=1                                                                                     0x32=2                                                                                          0x33=3</t>
  </si>
  <si>
    <t>0x30=0                                                                                           0x31=1                                                                                         0x32=2                                                                                                 0x33=3                                                                                         0x34=4</t>
  </si>
  <si>
    <t>Alphanumeric Label of 16 characters                                        (A-Z)=0x41-0x5A                                                                            (a-z)=0x61-0x7A                                                                               (0-9)=0x30-0x39</t>
  </si>
  <si>
    <t>IDU Configuration</t>
  </si>
  <si>
    <t>IDU1 ID</t>
  </si>
  <si>
    <t>(01)d=(01)h=(0x30,0x31)ASCII</t>
  </si>
  <si>
    <t>IDU Type</t>
  </si>
  <si>
    <t>Alphanumeric Label of 16 characters                                             (A-Z)=0x41-0x5A                                                                        (a-z)=0x61-0x7A                                                                              (0-9)=0x30-0x39</t>
  </si>
  <si>
    <t>IDU ID = 02</t>
  </si>
  <si>
    <t>IDU ID = 03</t>
  </si>
  <si>
    <t>IDU ID = 04</t>
  </si>
  <si>
    <t>IDU ID = 05</t>
  </si>
  <si>
    <t>IDU ID = 06</t>
  </si>
  <si>
    <t>IDU ID = 07</t>
  </si>
  <si>
    <t>IDU ID = 08</t>
  </si>
  <si>
    <t>IDU ID = 09</t>
  </si>
  <si>
    <t>IDU ID = 10</t>
  </si>
  <si>
    <t>IDU ID = 11</t>
  </si>
  <si>
    <t>IDU ID = 12</t>
  </si>
  <si>
    <t>IDU ID = 13</t>
  </si>
  <si>
    <t>IDU ID = 14</t>
  </si>
  <si>
    <t>IDU ID = 15</t>
  </si>
  <si>
    <t>IDU ID = 16</t>
  </si>
  <si>
    <t>IDU ID = 17</t>
  </si>
  <si>
    <t>IDU ID = 18</t>
  </si>
  <si>
    <t>IDU ID = 19</t>
  </si>
  <si>
    <t>IDU ID = 20</t>
  </si>
  <si>
    <t>IDU ID = 21</t>
  </si>
  <si>
    <t>IDU ID = 22</t>
  </si>
  <si>
    <t>IDU ID = 23</t>
  </si>
  <si>
    <t>IDU ID = 24</t>
  </si>
  <si>
    <t>IDU ID = 25</t>
  </si>
  <si>
    <t>IDU ID = 26</t>
  </si>
  <si>
    <t>IDU ID = 27</t>
  </si>
  <si>
    <t>IDU ID = 28</t>
  </si>
  <si>
    <t>IDU ID = 29</t>
  </si>
  <si>
    <t>IDU ID = 30</t>
  </si>
  <si>
    <t>IDU ID = 31</t>
  </si>
  <si>
    <t>IDU ID = 32</t>
  </si>
  <si>
    <t>IDU ID = 33</t>
  </si>
  <si>
    <t>IDU ID = 34</t>
  </si>
  <si>
    <t>IDU ID = 35</t>
  </si>
  <si>
    <t>IDU ID = 36</t>
  </si>
  <si>
    <t>IDU ID = 37</t>
  </si>
  <si>
    <t>IDU ID = 38</t>
  </si>
  <si>
    <t>IDU ID = 39</t>
  </si>
  <si>
    <t>IDU ID = 40</t>
  </si>
  <si>
    <t>IDU ID = 41</t>
  </si>
  <si>
    <t>IDU ID = 42</t>
  </si>
  <si>
    <t>IDU ID = 43</t>
  </si>
  <si>
    <t>IDU ID = 44</t>
  </si>
  <si>
    <t>IDU ID = 45</t>
  </si>
  <si>
    <t>IDU ID = 46</t>
  </si>
  <si>
    <t>IDU ID = 47</t>
  </si>
  <si>
    <t>IDU ID = 48</t>
  </si>
  <si>
    <t>IDU ID = 49</t>
  </si>
  <si>
    <t>IDU ID = 50</t>
  </si>
  <si>
    <t>IDU ID = 51</t>
  </si>
  <si>
    <t>IDU ID = 52</t>
  </si>
  <si>
    <t>IDU ID = 53</t>
  </si>
  <si>
    <t>IDU ID = 54</t>
  </si>
  <si>
    <t>IDU ID = 55</t>
  </si>
  <si>
    <t>IDU ID = 56</t>
  </si>
  <si>
    <t>IDU ID = 57</t>
  </si>
  <si>
    <t>IDU ID = 58</t>
  </si>
  <si>
    <t>IDU ID = 59</t>
  </si>
  <si>
    <t>IDU ID = 60</t>
  </si>
  <si>
    <t>IDU ID = 61</t>
  </si>
  <si>
    <t>IDU ID = 62</t>
  </si>
  <si>
    <t>From PC Monitoring to ODU Master for Configuration Upload</t>
  </si>
  <si>
    <t>* |  P | D | Frame Count | Data |  Protocol Version | CRC| #</t>
  </si>
  <si>
    <t xml:space="preserve">P </t>
  </si>
  <si>
    <t>From PC Monitoring to ODU Master</t>
  </si>
  <si>
    <t>0x30=FREE                                                             0x31=HEAT                                                                  0x32=COOL</t>
  </si>
  <si>
    <t>0x30=Digital                                                              0x31=Fix1                                                                 0x32=Fix2                                                                    0x33=ODU</t>
  </si>
  <si>
    <t>0x30= No control                                                           0x31=Always as per level                                                 0x32=As per timer</t>
  </si>
  <si>
    <t>0x30=0                                                                             0x31=1                                                                           0x32=2                                                                               0x33=3</t>
  </si>
  <si>
    <t>0x30=0                                                                               0x31=1                                                                          0x32=2                                                                           0x33=3                                                                             0x34=4</t>
  </si>
  <si>
    <t>Alphanumeric Label of 16 characters                                    (A-Z)=0x41-0x5A                                                                                                (a-z)=0x61-0x7A                                                                                                (0-9)=0x30-0x39</t>
  </si>
  <si>
    <r>
      <rPr>
        <sz val="9"/>
        <rFont val="Arial"/>
      </rPr>
      <t xml:space="preserve">VRF Capacity Codes
0x30 = '0' = 0 HP					
0x31 = '1' = 7 HP					
0x32 = '2' = 8 HP					
0x33 = '3' = 10 HP					
0x34 = '4' = 12 HP					
0x35 = '5' = 14 HP					
0x36 = '6' = 16 HP					
0x37 = '7' = 18 HP					
0x38 = '8' = 20 HP					
0x39 = '9' = 22 HP					
0x43 = 'C' = 24 HP					
0x44 = 'D' = 26 HP					
0x45 = 'E' = 28 HP             
</t>
    </r>
    <r>
      <rPr>
        <sz val="9"/>
        <color indexed="12"/>
        <rFont val="Arial"/>
      </rPr>
      <t xml:space="preserve">0x46 = 'F' = 4 HP					
0x47 = 'G' = 5 HP					
0x48 = 'H' = 6 HP  </t>
    </r>
    <r>
      <rPr>
        <sz val="9"/>
        <rFont val="Arial"/>
      </rPr>
      <t xml:space="preserve">  </t>
    </r>
  </si>
  <si>
    <t>0x30=FREE                                                                  0x31=HEAT                                                                0x32=COOL</t>
  </si>
  <si>
    <t>0x30=Digital                                                                 0x31=Fix1                                                                 0x32=Fix2                                                                0x33=ODU</t>
  </si>
  <si>
    <t>0x30= No control                                                       0x31=Always as per level                                            0x32=As per timer</t>
  </si>
  <si>
    <t>0x30=0                                                                               0x31=1                                                                               0x32=2                                                                               0x33=3</t>
  </si>
  <si>
    <t>0x30=0                                                                               0x31=1                                                                             0x32=2                                                                             0x33=3                                                                          0x34=4</t>
  </si>
  <si>
    <t xml:space="preserve">Alphanumeric Label of 16 characters                                       (A-Z)=0x41-0x5A                                                                              (a-z)=0x61-0x7A                                                                                   (0-9)=0x30-0x39            </t>
  </si>
  <si>
    <t>0x30=FREE                                                     0x31=HEAT                                                     0x32=COOL</t>
  </si>
  <si>
    <t>0x30=Digital                                                      0x31=Fix1                                                        0x32=Fix2                                                        0x33=ODU</t>
  </si>
  <si>
    <t>0x30= No control                                              0x31=Always as per level                                0x32=As per timer</t>
  </si>
  <si>
    <t>0x30=0                                                              0x31=1                                                                 0x32=2                                                                 0x33=3</t>
  </si>
  <si>
    <t>0x30=0                                                                   0x31=1                                                              0x32=2                                                               0x33=3                                                                  0x34=4</t>
  </si>
  <si>
    <t>Alphanumeric Label of 16 characters                           (A-Z)=0x41-0x5A                                                            (a-z)=0x61-0x7A                                                                (0-9)=0x30-0x39</t>
  </si>
  <si>
    <t>Alphanumeric Label of 16 characters                             (A-Z)=0x41-0x5A                                                              (a-z)=0x61-0x7A                                                                   (0-9)=0x30-0x39</t>
  </si>
  <si>
    <t>ACK or NACK Frame From ODU Master to PC Monitoring</t>
  </si>
  <si>
    <t>* |  M | A | XI | System ID | Frame Count |  Protocol Version | CRC| #</t>
  </si>
  <si>
    <t>Bootloader Frame</t>
  </si>
  <si>
    <t>A / N</t>
  </si>
  <si>
    <t xml:space="preserve"> 'A' = Ack frame                                                          'N' = Nack frame</t>
  </si>
  <si>
    <t>XI</t>
  </si>
  <si>
    <t>Frame From ODU Master to Slave for Data</t>
  </si>
  <si>
    <t>* |  M | D | Frame Count | S | Slave ID | Data |  Protocol Version | CRC| #</t>
  </si>
  <si>
    <t>IVRF 6th Gen Parameter Details</t>
  </si>
  <si>
    <t>Remark</t>
  </si>
  <si>
    <t>Frame from ODU Master</t>
  </si>
  <si>
    <t>Slave Data</t>
  </si>
  <si>
    <t>total number of bytes in a complete frame including start of frame</t>
  </si>
  <si>
    <t>Slave Identifier</t>
  </si>
  <si>
    <t>Slave ID</t>
  </si>
  <si>
    <t>(1-2)d=(0x31-0x32)ASCII</t>
  </si>
  <si>
    <t xml:space="preserve">0x30 = Off                                                                          0x31 = Heat                                                                        0x32 = Cool                                                             </t>
  </si>
  <si>
    <t>0x30 = OFF                                                                               
0x31 = On</t>
  </si>
  <si>
    <r>
      <rPr>
        <sz val="11"/>
        <rFont val="Calibri"/>
      </rPr>
      <t xml:space="preserve">0x30 = OFF                                                                               
0x31 = On
</t>
    </r>
    <r>
      <rPr>
        <sz val="11"/>
        <color indexed="54"/>
        <rFont val="Calibri"/>
      </rPr>
      <t>0x3</t>
    </r>
    <r>
      <rPr>
        <sz val="11"/>
        <color indexed="30"/>
        <rFont val="Calibri"/>
      </rPr>
      <t>2 = On + Defrost
0x33 = Start Motor Reverse Rotation</t>
    </r>
  </si>
  <si>
    <t>0x30 = Normal operation                                                           0x31 = Go defrost</t>
  </si>
  <si>
    <r>
      <rPr>
        <sz val="11"/>
        <rFont val="Calibri"/>
      </rPr>
      <t>0x30 = Normal Operation
0x31 = Sense Defrost</t>
    </r>
    <r>
      <rPr>
        <sz val="11"/>
        <color rgb="FF0070C0"/>
        <rFont val="Calibri"/>
      </rPr>
      <t xml:space="preserve">
0x32 = Wait_For_Defrost_Delay
0x33 = Wait_For_Refrigerant_Recovery
0x34 = Start_Defrost
0x35 = Do_Defrost
0x36 = Defrost_Special_Control
0x37 = Complete_Defrost
0x38 = All_Self_Oil_Recovery</t>
    </r>
  </si>
  <si>
    <t>0x30 = Normal operation                                                           0x31 = Supplier                                                                            0x30 = OFF</t>
  </si>
  <si>
    <t>Range: (0-9)d=(0-9)h  =(0x30-0x39)ASCII</t>
  </si>
  <si>
    <t>Range:(0-21824)d=(0x30,0x30,0x30,0x30 – 0x35,0x35,0x34,0x30)ASCII</t>
  </si>
  <si>
    <t>Slave Correspond Control State</t>
  </si>
  <si>
    <t>Four_Way_Correspond_Control_Start = '1'
 Referigerant_Recovery_Start    = '2'
 Referigerant_Push_Out_Start    = '3'
 Special_Control_End     = '4'
 HP_Protection_In_Cool_Mode_Start  = '5'</t>
  </si>
  <si>
    <r>
      <rPr>
        <sz val="11"/>
        <rFont val="Calibri"/>
      </rPr>
      <t xml:space="preserve">Four_Way_Correspond_Control_Start = '1'
 Referigerant_Recovery_Start    = '2'
 Referigerant_Push_Out_Start    = '3'
 Special_Control_End     = '4'
 HP_Protection_In_Cool_Mode_Start  = '5'
</t>
    </r>
    <r>
      <rPr>
        <sz val="11"/>
        <color indexed="30"/>
        <rFont val="Calibri"/>
      </rPr>
      <t>During 3 off  timer, so no special control ongoing= '0'
IDU Oil Pump Out = 'F'</t>
    </r>
  </si>
  <si>
    <t>System Defrost State</t>
  </si>
  <si>
    <t xml:space="preserve"> System_Defrost_Complete =   '0'
 System_In_Defrost  =  '1'</t>
  </si>
  <si>
    <t>ODU Check Mode</t>
  </si>
  <si>
    <t>0x30 = OFF                                                                            
0x31 = On</t>
  </si>
  <si>
    <t>ODU Commissioning Mode</t>
  </si>
  <si>
    <t>Slave Homming</t>
  </si>
  <si>
    <t>H' = Start Homming</t>
  </si>
  <si>
    <t>Gas Shortage in running ODU</t>
  </si>
  <si>
    <t>Slave Fan Speed</t>
  </si>
  <si>
    <t>Future Bytes</t>
  </si>
  <si>
    <t xml:space="preserve"> '0'</t>
  </si>
  <si>
    <t>Byte 1 - Silent mode
Byte 2 - Unload Valve State from Master
Byte 3 - Keep 30rps in oil swap
Byte 4 - Performance mode case
Byte 5 - Compressor type</t>
  </si>
  <si>
    <t>Reply From Slave to ODU Master for Slave Data</t>
  </si>
  <si>
    <t>* |  S | D | Frame Count | Slave ID | Data |  Protocol Version | CRC| #</t>
  </si>
  <si>
    <t>Frame From slave</t>
  </si>
  <si>
    <t>Slave data</t>
  </si>
  <si>
    <t>(1-3)d=(0x31-0x32)ASCII</t>
  </si>
  <si>
    <r>
      <rPr>
        <sz val="11"/>
        <rFont val="Calibri"/>
      </rPr>
      <t>VRF ODU Capacity Codes
0x30 = '0' = 0 HP</t>
    </r>
    <r>
      <rPr>
        <sz val="11"/>
        <rFont val="Arial"/>
      </rPr>
      <t xml:space="preserve">					</t>
    </r>
    <r>
      <rPr>
        <sz val="11"/>
        <rFont val="Calibri"/>
      </rPr>
      <t xml:space="preserve">
0x31 = '1' = 7 HP</t>
    </r>
    <r>
      <rPr>
        <sz val="11"/>
        <rFont val="Arial"/>
      </rPr>
      <t xml:space="preserve">					</t>
    </r>
    <r>
      <rPr>
        <sz val="11"/>
        <rFont val="Calibri"/>
      </rPr>
      <t xml:space="preserve">
0x32 = '2' = 8 HP</t>
    </r>
    <r>
      <rPr>
        <sz val="11"/>
        <rFont val="Arial"/>
      </rPr>
      <t xml:space="preserve">					</t>
    </r>
    <r>
      <rPr>
        <sz val="11"/>
        <rFont val="Calibri"/>
      </rPr>
      <t xml:space="preserve">
0x33 = '3' = 10 HP</t>
    </r>
    <r>
      <rPr>
        <sz val="11"/>
        <rFont val="Arial"/>
      </rPr>
      <t xml:space="preserve">					</t>
    </r>
    <r>
      <rPr>
        <sz val="11"/>
        <rFont val="Calibri"/>
      </rPr>
      <t xml:space="preserve">
0x34 = '4' = 12 HP</t>
    </r>
    <r>
      <rPr>
        <sz val="11"/>
        <rFont val="Arial"/>
      </rPr>
      <t xml:space="preserve">					</t>
    </r>
    <r>
      <rPr>
        <sz val="11"/>
        <rFont val="Calibri"/>
      </rPr>
      <t xml:space="preserve">
0x35 = '5' = 14 HP</t>
    </r>
    <r>
      <rPr>
        <sz val="11"/>
        <rFont val="Arial"/>
      </rPr>
      <t xml:space="preserve">					</t>
    </r>
    <r>
      <rPr>
        <sz val="11"/>
        <rFont val="Calibri"/>
      </rPr>
      <t xml:space="preserve">
0x36 = '6' = 16 HP</t>
    </r>
    <r>
      <rPr>
        <sz val="11"/>
        <rFont val="Arial"/>
      </rPr>
      <t xml:space="preserve">					</t>
    </r>
    <r>
      <rPr>
        <sz val="11"/>
        <rFont val="Calibri"/>
      </rPr>
      <t xml:space="preserve">
0x37 = '7' = 18 HP</t>
    </r>
    <r>
      <rPr>
        <sz val="11"/>
        <rFont val="Arial"/>
      </rPr>
      <t xml:space="preserve">					</t>
    </r>
    <r>
      <rPr>
        <sz val="11"/>
        <rFont val="Calibri"/>
      </rPr>
      <t xml:space="preserve">
0x38 = '8' = 20 HP</t>
    </r>
    <r>
      <rPr>
        <sz val="11"/>
        <rFont val="Arial"/>
      </rPr>
      <t xml:space="preserve">					</t>
    </r>
    <r>
      <rPr>
        <sz val="11"/>
        <rFont val="Calibri"/>
      </rPr>
      <t xml:space="preserve">
0x39 = '9' = 22 HP</t>
    </r>
    <r>
      <rPr>
        <sz val="11"/>
        <rFont val="Arial"/>
      </rPr>
      <t xml:space="preserve">					</t>
    </r>
    <r>
      <rPr>
        <sz val="11"/>
        <rFont val="Calibri"/>
      </rPr>
      <t xml:space="preserve">
0x43 = 'C' = 24 HP</t>
    </r>
    <r>
      <rPr>
        <sz val="11"/>
        <rFont val="Arial"/>
      </rPr>
      <t xml:space="preserve">					</t>
    </r>
    <r>
      <rPr>
        <sz val="11"/>
        <rFont val="Calibri"/>
      </rPr>
      <t xml:space="preserve">
0x44 = 'D' = 26 HP</t>
    </r>
    <r>
      <rPr>
        <sz val="11"/>
        <rFont val="Arial"/>
      </rPr>
      <t xml:space="preserve">					</t>
    </r>
    <r>
      <rPr>
        <sz val="11"/>
        <rFont val="Calibri"/>
      </rPr>
      <t xml:space="preserve">
0x45 = 'E' = 28 HP             
0x46 = 'F' = 4 HP</t>
    </r>
    <r>
      <rPr>
        <sz val="11"/>
        <rFont val="Arial"/>
      </rPr>
      <t xml:space="preserve">					</t>
    </r>
    <r>
      <rPr>
        <sz val="11"/>
        <rFont val="Calibri"/>
      </rPr>
      <t xml:space="preserve">
0x47 = 'G' = 5 HP</t>
    </r>
    <r>
      <rPr>
        <sz val="11"/>
        <rFont val="Arial"/>
      </rPr>
      <t xml:space="preserve">					</t>
    </r>
    <r>
      <rPr>
        <sz val="11"/>
        <rFont val="Calibri"/>
      </rPr>
      <t xml:space="preserve">
0x48 = 'H' = 6 HP    </t>
    </r>
  </si>
  <si>
    <t xml:space="preserve">Liquid Injection Stae </t>
  </si>
  <si>
    <t>SV4 OFF  SV5 OFF  SV6 OFF =  '0'
SV4 ON    SV5 OFF  SV6 OFF  = '1'
SV4 ON    SV5 ON    SV6 OFF  = '2'
SV4 ON    SV5 ON    SV6 ON    =  '3'</t>
  </si>
  <si>
    <t>Debugging Byte</t>
  </si>
  <si>
    <t>0x30 = OFF                                                                                                      0x31 = ON</t>
  </si>
  <si>
    <t>Range : (0-704)d=(0-2C0)h=                                        (0x30,0x30,0x30-0x32,0x43,0x30)ASCII</t>
  </si>
  <si>
    <t>Slave F/w</t>
  </si>
  <si>
    <t>Range: (0 – 700)d=(0-2BC)h                                                           (0x30,0x30,0x30 – 0x32,0x42,0x43)ASCII</t>
  </si>
  <si>
    <t>Range: (0 – 512)d=(0-200)h                                 (0x30,0x30,0x30 – 0x32,0x30,0x30)ASCII</t>
  </si>
  <si>
    <t>Range: (0 – 150)d=(0-096)h                                                           (0x30,0x30,0x30 – 0x30,0x39,0x36)ASCII</t>
  </si>
  <si>
    <t>Inv1 Temp</t>
  </si>
  <si>
    <t>Inv2 Temp</t>
  </si>
  <si>
    <t xml:space="preserve">Temperature Range: -45.0 to +140.0                                                                          1 byte for polarity
‘+’ = Positive = 0x2B
 ‘-‘ = Negative = 0x2D                                                                                 3 bytes for value                                                                             Decimal range : 0.0 to 140.0
Range: (0 to 1400)d=(0 to 0x578)h    give dec point frm pc y/10 
(0x30,0x30,0x30 – 0x35,0x37,0x38)                                                      </t>
  </si>
  <si>
    <t xml:space="preserve">Temperature Range:-15.0 to 60.0                                                                        1 byte for polarity
‘+’ = Positive = 0x2B
 ‘-‘ = Negative = 0x2D                                                                           3 bytes for value                                                                    Decimal range : 0.0 to 140.0
Range: (0 to 1400)d=(0 to 0x578)h   give dec point frm pc by/10 
(0x30,0x30,0x30 – 0x35,0x37,0x38)                                                      </t>
  </si>
  <si>
    <t xml:space="preserve">  For Example                                                                  C4=0x43,0x34                                                                    E1=0x45,0x31                                                                                    F2=0x46,0x32                                                                                   U4=0x55,0x34                                                                                </t>
  </si>
  <si>
    <t>0x30 = OFF                                                                                                       0x31 = ON</t>
  </si>
  <si>
    <t>HGD State</t>
  </si>
  <si>
    <t>(0-11)d=(0-B)h                                                                                               (0x30-0x42)ASCII</t>
  </si>
  <si>
    <t>Fan1 speed rpm</t>
  </si>
  <si>
    <t xml:space="preserve">Range: (0-1500)d=(0-5DC)h                                                                                 (0x30,0x30,0x30-0x35,0x44,0x43)ASCII </t>
  </si>
  <si>
    <t>Fan2 speed rpm</t>
  </si>
  <si>
    <t>Fix 1 Startup Flag</t>
  </si>
  <si>
    <t>Fix 2 Startup Flag</t>
  </si>
  <si>
    <t>0x30 = OFF
0x31 = ON</t>
  </si>
  <si>
    <t xml:space="preserve">Pretrip Counts </t>
  </si>
  <si>
    <t>Unused</t>
  </si>
  <si>
    <t>Slave Time Since Startup</t>
  </si>
  <si>
    <t>(00-FF)h</t>
  </si>
  <si>
    <t>Backup Mode</t>
  </si>
  <si>
    <t>DLT Protection Level</t>
  </si>
  <si>
    <t>0x30 = Level 0
0x31 = Level 1
0x32 = Level 2
0x33 = Level 3
0X34 = Level 4</t>
  </si>
  <si>
    <t>Comp. 1 Current Protection</t>
  </si>
  <si>
    <t>0x30 = Level 0
0x31 = Level 1
0x32 = Level 2
0x33 = Level 3</t>
  </si>
  <si>
    <t>Comp. 2 Current Protection</t>
  </si>
  <si>
    <t>Inv1 IPM Protection</t>
  </si>
  <si>
    <t>Inv2 IPM Protection</t>
  </si>
  <si>
    <t>Slave1: Comp1 Oil Level</t>
  </si>
  <si>
    <t>Data to sent in Hex Format
0 to 64H corresponds to 0 to 100% oil percentage</t>
  </si>
  <si>
    <t>Slave1: Comp2 Oil Level</t>
  </si>
  <si>
    <t>Slave Ambient Protection State</t>
  </si>
  <si>
    <t>0x30 = No Protection
0x31 = Protection is On and restricted at level 1 (85RPS)
0x32 = Protection is on and restricted at level 2 (75RPS)</t>
  </si>
  <si>
    <t>Frame From ODU Master to IDU for IDU Data</t>
  </si>
  <si>
    <t>* |  M| D | Frame Count |  IDU ID | Data |  Protocol Version | CRC| #</t>
  </si>
  <si>
    <t>IDU Data</t>
  </si>
  <si>
    <t>IDU ID</t>
  </si>
  <si>
    <t>(1-64)d=(0-40)h=(0x30,0x31-0x34,0x30)</t>
  </si>
  <si>
    <t>0x30 = OFF                                                   0x31 = ON</t>
  </si>
  <si>
    <t>5</t>
  </si>
  <si>
    <t>ODU Error Code</t>
  </si>
  <si>
    <t>0xC1-0xC6                                                   0xE1-0xEF                                                   0xF1-0xFF</t>
  </si>
  <si>
    <t>Commisioning/Check Mode</t>
  </si>
  <si>
    <t>Commisioning mode = 'C' &amp; 'M'                   Check Mode = 'C' &amp; 'K'     
Hot Gas Defrost ='H' &amp; 'G'
else '0' &amp; '0'</t>
  </si>
  <si>
    <t>Permit Mode Change</t>
  </si>
  <si>
    <t>0' - Reject Mode Change
'1' - Accept Mode Change</t>
  </si>
  <si>
    <t>"0000"</t>
  </si>
  <si>
    <t>Reply From IDU to ODU Master for Data</t>
  </si>
  <si>
    <t>* |  I | D | Frame Count | IDU ID | Data |  Protocol Version | CRC| #</t>
  </si>
  <si>
    <t xml:space="preserve">Frame From IDU </t>
  </si>
  <si>
    <t>(01 - 62)d=(01- 3E)h=(0x30,0x31 - 0x33,0x45)ASCII</t>
  </si>
  <si>
    <t>Mode Selected</t>
  </si>
  <si>
    <t>0x31 = '1' = 2.8Kw
0x32 = '2' = 3.5Kw
0x33 = '3' = 4.6Kw
0x34 = '4' = 5.3Kw
0x35 = '5' = 7.0Kw
0x36 = '6' = 7.7Kw
0x37 = '7' = 8.8Kw
0x38 = '8' = 10.5Kw
0x39 = '9' = 12.3Kw
0x40 = '@' = 14.1Kw
0x41 = 'A' = 17.6Kw
0x42 = 'B' = 19.3Kw
0x43 = 'C' = 21.1Kw
0x44 = 'D' = 23.9Kw
0x45 = 'E' = 28.1Kw
0x46 = 'F' = 35.2Kw
0x47 = 'G' = 2.3Kw
0x48 = 'H' = 6.0Kw
0x49 = 'I' = 8.1Kw
0x4A = 'J' = 10.0Kw
0x4B = 'K' = 11.3Kw</t>
  </si>
  <si>
    <t>Range:(U0-UF)=(0x55,0x30-0x55,0x46)ASCII</t>
  </si>
  <si>
    <t>1 byte for polarity                                                                                ‘+’ = Positive                                                                                        ‘-‘ = Negative                                                                                         2 bytes for Value                                                                     Decimal range 0.0 to 5.0         (give dec point frm pc by/10)                                                      For communication range is 0 to 50                                           (0x30,0x30-0x33,0x32)ASCII</t>
  </si>
  <si>
    <t>Range:(0-101)d=(0x30,0x30-0x36,0x35)ASCII</t>
  </si>
  <si>
    <t>Decimal range: -20.0 to 30.0 °C with resolution of 0.5        Total 4 bytes1 byte for polarity‘                                                       +’ = Positive                                                                                         ‘-‘ = Negative                                                                                          And3 bytes for value                                                                Range: 0.0 to 30.0                                                                            (0 to 300)d=(0-12C)h                                                        (0x30,0x30,0x30 to 0x31,0x32,0x43)ASCII</t>
  </si>
  <si>
    <t>Range: (1-5)d=(1-5)h=(0x31-0x35)ASCII</t>
  </si>
  <si>
    <t>(01-256)d=(01-FF)h=(0x30,0x31-0x46,0x46)ASCII</t>
  </si>
  <si>
    <t>IDU_Drain_Pump_Lock</t>
  </si>
  <si>
    <t>IDU_Door_Key_Lock</t>
  </si>
  <si>
    <t>IDU Backup Commapd</t>
  </si>
  <si>
    <t xml:space="preserve"> 'R'=(0x52)ASCII Reset "C4" error of ODU( IDU which is in "C4" error will be kept in backup mode)</t>
  </si>
  <si>
    <t xml:space="preserve">16 bit CRC calculated including * and converted to 4 byte ASCII hex for transmission </t>
  </si>
  <si>
    <t>* |  M| V | Frame Count | Slave Status | Data |  Protocol Version | CRC| #</t>
  </si>
  <si>
    <t>V</t>
  </si>
  <si>
    <t>Slave Parameters</t>
  </si>
  <si>
    <t>S1 for Slave 1, S2 for Slave 2, S3 for Slave 3</t>
  </si>
  <si>
    <t>1,2 or 3</t>
  </si>
  <si>
    <t>Frame From ODU Master to Slave for Slave Configuration Download Request</t>
  </si>
  <si>
    <t>* |  M | O | Frame Count | S | Slave ID | Config type |  Protocol Version | CRC| #</t>
  </si>
  <si>
    <t>Config frame</t>
  </si>
  <si>
    <t xml:space="preserve"> 'R'</t>
  </si>
  <si>
    <t>Config Request</t>
  </si>
  <si>
    <t>For Future use</t>
  </si>
  <si>
    <t>Reply From Slave to ODU Master for Slave Configuration Download</t>
  </si>
  <si>
    <t>* |  S | O | Frame Count | Slave ID | Config type | Data |  Protocol Version | CRC| #</t>
  </si>
  <si>
    <t>Config farme</t>
  </si>
  <si>
    <t xml:space="preserve"> 'D'</t>
  </si>
  <si>
    <t>Frame From ODU Master to Slave for Slave Configuration Upload</t>
  </si>
  <si>
    <t>Reply From Slave to ODU Master for Slave Configuration Upload</t>
  </si>
  <si>
    <t>* |  S | O | Frame Count | Slave ID | Config type |  Protocol Version | CRC| #</t>
  </si>
  <si>
    <t xml:space="preserve"> 'A' </t>
  </si>
  <si>
    <t>for Config Ack</t>
  </si>
  <si>
    <t>* |  M| C | Frame Count | Data | IDU Status |  Protocol Version | CRC| #</t>
  </si>
  <si>
    <t>0x30 =ON,
0x31 = F1,
0x32 = F2,
0x33 = F3, 
0x34 = F4,
0x35 = F5,
0x36 = Filter RESET</t>
  </si>
  <si>
    <t>IDU57 to IDU64</t>
  </si>
  <si>
    <t>Bit 0-&gt; IDU57 State
Bit 1-&gt; IDU58 State
Bit 2-&gt; IDU59State
Bit 3-&gt; IDU60 State
Bit 4-&gt; IDU61 State
Bit 5-&gt; IDU62 State
Bit 6-&gt; IDU63 State
Bit 7-&gt; IDU64 State</t>
  </si>
  <si>
    <t>Frame From ODU Master to IDU for Configuration Download Request</t>
  </si>
  <si>
    <t>* |  M| O | Frame Count |IDU ID | Config Type |  Protocol Version | CRC| #</t>
  </si>
  <si>
    <t>*MO0E01IRXXX034D31#</t>
  </si>
  <si>
    <t>Config Frame</t>
  </si>
  <si>
    <t xml:space="preserve"> 'I'</t>
  </si>
  <si>
    <t>IDU Identifier for IDU Configuration</t>
  </si>
  <si>
    <t xml:space="preserve">Config request </t>
  </si>
  <si>
    <t>Reply From IDU to ODU Master for Configuration Download</t>
  </si>
  <si>
    <t>* |  I | O | Frame Count | IDU ID | Config Type | Data |  Protocol Version | CRC| #</t>
  </si>
  <si>
    <t>*IO1E01D4202$$$$$$$$$$$$$$$$0BFB6A#</t>
  </si>
  <si>
    <t xml:space="preserve"> 'D' </t>
  </si>
  <si>
    <t xml:space="preserve">for Config Data </t>
  </si>
  <si>
    <t>IDU Label</t>
  </si>
  <si>
    <t>16 Alfanumeric Characters</t>
  </si>
  <si>
    <t>Frame From ODU Master to IDU for Configuration Upload</t>
  </si>
  <si>
    <t>* |  M| O | Frame Count |IDU ID | Config Type | Data |  Protocol Version | CRC| #</t>
  </si>
  <si>
    <t>Config data</t>
  </si>
  <si>
    <t>Reply From IDU to ODU Master for Configuration Upload</t>
  </si>
  <si>
    <t>* |  I | O | Frame Count | IDU ID | Config Type |  Protocol Version | CRC| #</t>
  </si>
  <si>
    <t>Congiguration Frame</t>
  </si>
  <si>
    <t>Frame From  ODU Master to IDU for Start of Autoadressing</t>
  </si>
  <si>
    <t>* |  M | B/T | Frame Count | 64| Command | No of IDUs |  Protocol Version | CRC | #</t>
  </si>
  <si>
    <t>no of IDU</t>
  </si>
  <si>
    <t>*MB0C64101039B05#</t>
  </si>
  <si>
    <t>Frame from master</t>
  </si>
  <si>
    <t>*MB0C64102039BF5#</t>
  </si>
  <si>
    <t>B or T</t>
  </si>
  <si>
    <t>B = Broadcast frame
T = Restart Auto addressing</t>
  </si>
  <si>
    <t>*MB0C64103035BA4#</t>
  </si>
  <si>
    <t>*MB0C64104039A15#</t>
  </si>
  <si>
    <t>1 = Start of auto adress</t>
  </si>
  <si>
    <t>No of IDUs connected</t>
  </si>
  <si>
    <t>1 to 62</t>
  </si>
  <si>
    <t>Frame From  ODU Master to IDU for Who is IDU 'X'</t>
  </si>
  <si>
    <t>* |  M | B | Frame Count | IDU ID| Command | XX |  Protocol Version | CRC | #</t>
  </si>
  <si>
    <t>*MB0C012XX03B2EB#</t>
  </si>
  <si>
    <t>*MB0C022XX0381EB#</t>
  </si>
  <si>
    <t>Broadcast frame</t>
  </si>
  <si>
    <t>*MB0C032XX0350EA#</t>
  </si>
  <si>
    <t>*MB0C042XX03E7EB#</t>
  </si>
  <si>
    <t>2 = Who is 'X'</t>
  </si>
  <si>
    <t>XX</t>
  </si>
  <si>
    <t>Reply Frame From IDU to ODU Master for Who is IDU 'X'</t>
  </si>
  <si>
    <t>* |  I | U | Frame Count | IDU ID| Random no |  Protocol Version | CRC | #</t>
  </si>
  <si>
    <t>*IU0C016BD0BF7B9#</t>
  </si>
  <si>
    <t xml:space="preserve">I </t>
  </si>
  <si>
    <t>Frame from IDU</t>
  </si>
  <si>
    <t>*IU0C026BD0BC4B9#</t>
  </si>
  <si>
    <t>U</t>
  </si>
  <si>
    <t>Reply of who is X</t>
  </si>
  <si>
    <t>*IU0C036BD0B15B8#</t>
  </si>
  <si>
    <t>*IU0C046BD0BA2B9#</t>
  </si>
  <si>
    <t>Random no</t>
  </si>
  <si>
    <t xml:space="preserve">000 to FFF </t>
  </si>
  <si>
    <t>Frame From  ODU Master to IDU for Recalculation</t>
  </si>
  <si>
    <t>* |  M | B | Frame Count | IDU ID| Command | X |  Protocol Version | CRC | #</t>
  </si>
  <si>
    <t>*MB0C0131X03EECB#</t>
  </si>
  <si>
    <t>*MB0C0231X03DDCB#</t>
  </si>
  <si>
    <t>*MB0C0331X030CCA#</t>
  </si>
  <si>
    <t>*MB0C0431X03BBCB#</t>
  </si>
  <si>
    <t>Recalculate ID from this No to no of IDU ID</t>
  </si>
  <si>
    <t>31 = Recalculate</t>
  </si>
  <si>
    <t>X</t>
  </si>
  <si>
    <t>Frame From  ODU Master to IDU for IDU ID Confirmation</t>
  </si>
  <si>
    <t>* |  M | U | Frame Count | IDU ID| Command | X | Random No | Protocol Version | CRC | #</t>
  </si>
  <si>
    <r>
      <rPr>
        <sz val="10"/>
        <rFont val="Arial"/>
      </rPr>
      <t>*MU0F0132X</t>
    </r>
    <r>
      <rPr>
        <b/>
        <sz val="12"/>
        <rFont val="Arial"/>
      </rPr>
      <t>XXX</t>
    </r>
    <r>
      <rPr>
        <sz val="10"/>
        <rFont val="Arial"/>
      </rPr>
      <t>0379AC#</t>
    </r>
  </si>
  <si>
    <r>
      <rPr>
        <sz val="10"/>
        <rFont val="Arial"/>
      </rPr>
      <t>*MU0F0232X</t>
    </r>
    <r>
      <rPr>
        <b/>
        <sz val="12"/>
        <rFont val="Arial"/>
      </rPr>
      <t>XXX</t>
    </r>
    <r>
      <rPr>
        <sz val="10"/>
        <rFont val="Arial"/>
      </rPr>
      <t>0389B8#</t>
    </r>
  </si>
  <si>
    <t>Confirmation frame</t>
  </si>
  <si>
    <r>
      <rPr>
        <sz val="10"/>
        <rFont val="Arial"/>
      </rPr>
      <t>*MU0F0332X</t>
    </r>
    <r>
      <rPr>
        <b/>
        <sz val="12"/>
        <rFont val="Arial"/>
      </rPr>
      <t>XXX</t>
    </r>
    <r>
      <rPr>
        <sz val="10"/>
        <rFont val="Arial"/>
      </rPr>
      <t>0319B5#</t>
    </r>
  </si>
  <si>
    <r>
      <rPr>
        <sz val="10"/>
        <rFont val="Arial"/>
      </rPr>
      <t>*MU0F0432X</t>
    </r>
    <r>
      <rPr>
        <b/>
        <sz val="12"/>
        <rFont val="Arial"/>
      </rPr>
      <t>XXX</t>
    </r>
    <r>
      <rPr>
        <sz val="10"/>
        <rFont val="Arial"/>
      </rPr>
      <t>032993#</t>
    </r>
  </si>
  <si>
    <t>Confirm IDU ID</t>
  </si>
  <si>
    <t>*MU0F0332X33703FE93#</t>
  </si>
  <si>
    <t>32 = IDU ID Confrmation</t>
  </si>
  <si>
    <t>*MU0F0432XF9B03072A#</t>
  </si>
  <si>
    <t>Random No Received from IDU in reply of who is 'X'</t>
  </si>
  <si>
    <t>000 to FFF</t>
  </si>
  <si>
    <t>Reply Frame From IDU to ODU Master for IDU ID Confirmation</t>
  </si>
  <si>
    <t>* |  I | A | Frame Count | IDU ID| 32X |  Protocol Version | CRC | #</t>
  </si>
  <si>
    <t>*IA0C0132X0BB1EE#</t>
  </si>
  <si>
    <t>*IA0C0232X0B82EE#</t>
  </si>
  <si>
    <t>A</t>
  </si>
  <si>
    <t>Ack frame</t>
  </si>
  <si>
    <t>*IA0C0332X0B53EF#</t>
  </si>
  <si>
    <t>*IA0C0432X0BE4EE#</t>
  </si>
  <si>
    <t>32X</t>
  </si>
  <si>
    <t>Frame From  ODU Master to IDU for End of Autoadressing</t>
  </si>
  <si>
    <t>* |  M | B | Frame Count | 65 | Command | XX |  Protocol Version | CRC | #</t>
  </si>
  <si>
    <t>*MB0C654XX033604#</t>
  </si>
  <si>
    <t>B = Broadcast frame</t>
  </si>
  <si>
    <t>4 = Endt of auto adress</t>
  </si>
  <si>
    <t>*MD1B0120a01E050000X02XXX035292#</t>
  </si>
  <si>
    <t>*MD1B0220a01E050000X02XXX0361A1#</t>
  </si>
  <si>
    <t>*MD1B0320a01E050000X02XXX03B0B1#</t>
  </si>
  <si>
    <t>*MD1B0420a01E050000X02XXX0307C7#</t>
  </si>
  <si>
    <t>Frame From PC Monitoring to ODU Master for Start of Bootloader Session Command</t>
  </si>
  <si>
    <t>* |  B | Dest Type | Dest ID | System ID | Frame Count | Command |  Protocol Version | CRC| #</t>
  </si>
  <si>
    <t>Destination Type</t>
  </si>
  <si>
    <t>Destination ID</t>
  </si>
  <si>
    <t xml:space="preserve">00d = 00h = For All Types                                            (01-62)d = (01-3E)h = For IDU ID                               63d = 3Fh = For Slave 1                                          64d = 40h = For Slave 2 </t>
  </si>
  <si>
    <t>01d = 01h = Start of BL Session</t>
  </si>
  <si>
    <t>Frame From ODU Master to Slave or IDU for Start of Bootloader Session Command</t>
  </si>
  <si>
    <t xml:space="preserve"> '1' = 0x31 = HiWall 2TR                                                            '2' = 0x32 = Ducted                                                       '3' = 0x33 = 4Way                                                                '4' = 0x34 = Mini 4Way                                                     '5' = 0x35 = Ceiling Concealed                                        '6' = 0x36 = Floor                                                             '7' = 0x37 = TFA                                                              '8' = 0x38 = Heat Recovery                                            '9' = 0x39 = HiWall 1.5TR                                               'A' = 0x41 = Master                                                        'B' = 0x42 = Slave</t>
  </si>
  <si>
    <t>* |  M | A | XX | System ID | Frame Count |  Protocol Version | CRC| #</t>
  </si>
  <si>
    <t>Extra Bytes</t>
  </si>
  <si>
    <t>Frame From PC Monitoring to ODU Master for Block Programming</t>
  </si>
  <si>
    <t>* |  B | Dest Type | Dest ID | System ID | Frame Count | Command | Addr | Data |  Protocol Version | CRC| #</t>
  </si>
  <si>
    <t>02d = 02h = Block Programming Frame</t>
  </si>
  <si>
    <t>Block Address</t>
  </si>
  <si>
    <t>3 Byte Flash Address</t>
  </si>
  <si>
    <t>Block Data</t>
  </si>
  <si>
    <t>256 Bytes Flash Data</t>
  </si>
  <si>
    <t>Frame From ODU Master to Slave or IDU for Block Programming</t>
  </si>
  <si>
    <t>Frame From PC Monitoring to ODU Master for Status Polling</t>
  </si>
  <si>
    <t xml:space="preserve">(01-62)d = (01-3E)h = For IDU ID                               63d = 3Fh = For Slave 1                                          64d = 40h = For Slave 2 </t>
  </si>
  <si>
    <t>03d = 03h = Code Enquiry Frame</t>
  </si>
  <si>
    <t>Reply Frame From ODU Master to PC Monitoring for Programming Status of master</t>
  </si>
  <si>
    <t>* |  B | Dest Type | Dest ID | System ID | Frame Count |  Programming Status |  Protocol Version | CRC| #</t>
  </si>
  <si>
    <t xml:space="preserve"> 'P'                                                  </t>
  </si>
  <si>
    <t>(00)d=(00)h=(0x30,0x30)ASCII</t>
  </si>
  <si>
    <t>R</t>
  </si>
  <si>
    <t xml:space="preserve">Reply Frame </t>
  </si>
  <si>
    <t>Programming Status</t>
  </si>
  <si>
    <t xml:space="preserve"> '0' = 0x30 = Failed                                                               '1' = 0x31 = Successful                                                'X' = 0x58 = Not Connected </t>
  </si>
  <si>
    <t>Reply Frame From ODU Master to PC Monitoring for Programming Status of IDUs and Slave</t>
  </si>
  <si>
    <t xml:space="preserve"> 'A' = 0x41 = Master                                                        </t>
  </si>
  <si>
    <t xml:space="preserve"> '0'= 0x30 = Failed                                                                '1' = 0x31 = Successful                                                'X' = 0x58 = Not Connected                                                           65 Bytes for status of 65 devices                                                                                                                         Byte1   = Status of IDU1                                                Byte62 = Status of IDU62                                           Byte63 = Status of Slave1                                           Byte64 = Status of Slave2 </t>
  </si>
  <si>
    <t>Frame From ODU Master to Slave or IDU for Status Polling</t>
  </si>
  <si>
    <t>Reply Frame From Slave or IDU to ODU Master for Programming Status</t>
  </si>
  <si>
    <t>Frame From PC Monitoring to ODU Master for End of Bootloader Session Command</t>
  </si>
  <si>
    <t>04d = 04h =End of BL Session</t>
  </si>
  <si>
    <t>Frame From PC Application to Data Concentrator or Data Acq module or Modbus Converter for no of systems connected</t>
  </si>
  <si>
    <t>* |  D | C | Frame Count | No of systems | XXX |  Protocol Version | CRC |  #</t>
  </si>
  <si>
    <t>e.g.</t>
  </si>
  <si>
    <t>*DC0C01XXX0BC64C#</t>
  </si>
  <si>
    <t>*DC0C02XXX0BF54C#</t>
  </si>
  <si>
    <t>C/S</t>
  </si>
  <si>
    <t>C = No of System Configuration
E = Energy Meter Quantity Configure
S = Slave ID Configuration</t>
  </si>
  <si>
    <t>*DC0C03XXX0B244D#</t>
  </si>
  <si>
    <t>*DC0C04XXX0B934C#</t>
  </si>
  <si>
    <t>No of Systems &amp; Energy Meter Quantity or Slave ID</t>
  </si>
  <si>
    <t>(01 - 60)d=(01- 3C)h=(0x30,0x31 - 0x33,0x43)ASCII or
(01 - 247)d=(01- F7)h=(0x30,0x31 - 0x46,0x37)ASCII</t>
  </si>
  <si>
    <t>*DC0C05XXX0B424D#</t>
  </si>
  <si>
    <t>XXX</t>
  </si>
  <si>
    <t>future bytes</t>
  </si>
  <si>
    <t>*DC0C06XXX0B714D#</t>
  </si>
  <si>
    <t>*DC0C07XXX0BA04C#</t>
  </si>
  <si>
    <t>*DC0C08XXX0B5F4C#</t>
  </si>
  <si>
    <t>*DC0C09XXX0B8E4D#</t>
  </si>
  <si>
    <t>*DC0C0AXXX0BF647#</t>
  </si>
  <si>
    <t>*DC0C0BXXX0BC547#</t>
  </si>
  <si>
    <t>*DC0C0CXXX0B1446#</t>
  </si>
  <si>
    <t>*DC0C0DXXX0BA347#</t>
  </si>
  <si>
    <t>*DC0C0EXXX0B7246#</t>
  </si>
  <si>
    <t>*DC0C0FXXX0B4146#</t>
  </si>
  <si>
    <t>*DC0C10XXX0BD75D#</t>
  </si>
  <si>
    <t>Frame From Data Concentrator or Data Acq module or Modbus Converter to PC Application for acknowledgment</t>
  </si>
  <si>
    <t>* |  D | A | Frame Count | XXX |  Protocol Version | CRC |  #</t>
  </si>
  <si>
    <t>data acq frame</t>
  </si>
  <si>
    <t>A/N</t>
  </si>
  <si>
    <t>future byte</t>
  </si>
  <si>
    <t>*DR000E01XXX0A3575#</t>
  </si>
  <si>
    <t>Request Frame From PC Application to Data Acq module for Date and time</t>
  </si>
  <si>
    <t>* |  D | R | Frame Count | 01 |XXX |  Protocol Version | CRC |  #</t>
  </si>
  <si>
    <t>Request frame</t>
  </si>
  <si>
    <t>Date time request = 01</t>
  </si>
  <si>
    <t xml:space="preserve">01d = 0x30,0x31h </t>
  </si>
  <si>
    <t>Frame From PC Application to Data Acq module or vice versa for Date and time</t>
  </si>
  <si>
    <t>* |  D | T | Frame Count | DD | M | YYY | HH | MM | SS |  Protocol Version | CRC |  #</t>
  </si>
  <si>
    <t>T</t>
  </si>
  <si>
    <t>Date time frame</t>
  </si>
  <si>
    <t>1 to 31d = 0x30,0x31 to 0x31,0x46h (01-1F)</t>
  </si>
  <si>
    <t>Month</t>
  </si>
  <si>
    <t>1 to 12d = 0x31 to 0x43h (1-C)</t>
  </si>
  <si>
    <t>Year</t>
  </si>
  <si>
    <t>1 to 4096d =  0x30,0x30,0x31 to 0x46,0x46,0x46h (001-FFF)</t>
  </si>
  <si>
    <t>Hours</t>
  </si>
  <si>
    <t>0 to 23d = 0x30,0x30 to 0x31,0x37h (00-17)</t>
  </si>
  <si>
    <t>Minute</t>
  </si>
  <si>
    <t>0 to 59d = 0x30,0x30 to 0x33,0x42h (00-3B)</t>
  </si>
  <si>
    <t>Seconds</t>
  </si>
  <si>
    <t>Frame From Data Acq module to PC Application for acknowledgment</t>
  </si>
  <si>
    <t>*DR000E02XXX0A0675#</t>
  </si>
  <si>
    <t>Request Frame From PC Application to Data Acq module for Data</t>
  </si>
  <si>
    <t>* |  D | R | Frame Count | 02 | XXX |  Protocol Version | CRC |  #</t>
  </si>
  <si>
    <t>*DR000F02A7DC0A3C17#</t>
  </si>
  <si>
    <t>*DR000F0297DC0A441D#</t>
  </si>
  <si>
    <t>Data request = 02</t>
  </si>
  <si>
    <t xml:space="preserve">02d = 0x30,0x32h </t>
  </si>
  <si>
    <t>Month of file to be read</t>
  </si>
  <si>
    <t>Year of file to be read</t>
  </si>
  <si>
    <t>Reply Frame From Data Acq module to PC for Data</t>
  </si>
  <si>
    <t>* |  D | D | Frame Count | DATA |  Protocol Version | CRC |  #</t>
  </si>
  <si>
    <t>Number of systems connected</t>
  </si>
  <si>
    <t>Data</t>
  </si>
  <si>
    <t>no of systems = 
(frame count-28)/196</t>
  </si>
  <si>
    <t>IDU data identifier</t>
  </si>
  <si>
    <t>I' = 0x49</t>
  </si>
  <si>
    <t>IDU Fan Speed</t>
  </si>
  <si>
    <t>62 IDU of each 16 Systems Sequentially 
1 Byte for 1 IDU so total 992 IDUs
0x30 = Stop
0x31 = LL
0x32 = L
0x33 =M
0x34 = H</t>
  </si>
  <si>
    <t>IDU DCL</t>
  </si>
  <si>
    <t>62 IDU of each 16 Systems Sequentially 
1 Byte for 1 IDU so total 992 IDUs
0x30 = DCL is Zero
0x31 = DCl is present</t>
  </si>
  <si>
    <t>IDU Delata T Range</t>
  </si>
  <si>
    <t>62 IDU of each 16 Systems Sequentially 
1 Byte for 1 IDU so total 992 IDUs
0x31 = if(T&lt;= 2)
0x32 = if(2&lt; T&lt; 10)
0x33 = if(T&gt;= 10)</t>
  </si>
  <si>
    <t>ODU data identifier</t>
  </si>
  <si>
    <t>O' = 0x4F</t>
  </si>
  <si>
    <t>ODU TOC</t>
  </si>
  <si>
    <t>1 Bytes for one system
0x30 = TOC is Zero
0x31 = TOC is present</t>
  </si>
  <si>
    <t xml:space="preserve">1 Bytes for one system
0x30 = Off                                                                          0x31 = Heat                                                                        0x32 = Cool  </t>
  </si>
  <si>
    <t>ODU current Wattage</t>
  </si>
  <si>
    <t>8 Bytes for one system
not defined yet according to wattmeter specs</t>
  </si>
  <si>
    <t>X'</t>
  </si>
  <si>
    <t>* |  D | D | Frame Count | EOF |  Protocol Version | CRC |  #</t>
  </si>
  <si>
    <t>End of file reached</t>
  </si>
  <si>
    <t>E</t>
  </si>
  <si>
    <t>F</t>
  </si>
  <si>
    <t>ODU Error Log Request by PCM</t>
  </si>
  <si>
    <t>* |  E| L | Frame Count | System ID | ODU / IDU | Data Frame No | CRC| #</t>
  </si>
  <si>
    <t>L</t>
  </si>
  <si>
    <t>ODU or IDU log request</t>
  </si>
  <si>
    <t>0x30 - ODU
0x31 - IDU</t>
  </si>
  <si>
    <t>Data Frame No</t>
  </si>
  <si>
    <t>(0-9)d = (0-9)h =(0x30 to 0x39) ASCII</t>
  </si>
  <si>
    <t>ODU Error Log Upload by ODU Master</t>
  </si>
  <si>
    <t>* |  E | L | Frame Length | System ID | ODU / IDU | Data Frame No | Data(10 Records) | CRC| #</t>
  </si>
  <si>
    <t>ODU or IDU log upload</t>
  </si>
  <si>
    <t>0x30 - ODU</t>
  </si>
  <si>
    <t>Data - Record 1</t>
  </si>
  <si>
    <t>DDMMYY</t>
  </si>
  <si>
    <t>HHMM</t>
  </si>
  <si>
    <t>ODU Type</t>
  </si>
  <si>
    <t>Error Code</t>
  </si>
  <si>
    <t>General_TOC</t>
  </si>
  <si>
    <t>General_LIQinj</t>
  </si>
  <si>
    <t>General_ECC</t>
  </si>
  <si>
    <t>Output_PWM</t>
  </si>
  <si>
    <t>Output_FIX1</t>
  </si>
  <si>
    <t>Output_FIX2</t>
  </si>
  <si>
    <t>Output_WV_4</t>
  </si>
  <si>
    <t>Output_HOTD</t>
  </si>
  <si>
    <t>Output_EXV1</t>
  </si>
  <si>
    <t>Output_EXV2</t>
  </si>
  <si>
    <t>Output_Fan1Speed</t>
  </si>
  <si>
    <t>Output_Fan2Speed</t>
  </si>
  <si>
    <t>Input_HPr</t>
  </si>
  <si>
    <t>Input_LPr</t>
  </si>
  <si>
    <t>Input_CurrD</t>
  </si>
  <si>
    <t>Input_CurrF1</t>
  </si>
  <si>
    <t>Input_CurrF2</t>
  </si>
  <si>
    <t>Input_DLT1</t>
  </si>
  <si>
    <t>Input_DLT2</t>
  </si>
  <si>
    <t>Input_DLT3</t>
  </si>
  <si>
    <t>Input_Tgas1</t>
  </si>
  <si>
    <t>Input_Tgas2</t>
  </si>
  <si>
    <t>Input_Tliq1</t>
  </si>
  <si>
    <t>Input_Tliq2</t>
  </si>
  <si>
    <t>Input_Tamb</t>
  </si>
  <si>
    <t>Input_Volt</t>
  </si>
  <si>
    <t>Priorities_FIX1</t>
  </si>
  <si>
    <t>Priorities_FIX2</t>
  </si>
  <si>
    <t>Priorities_StartUpFlag</t>
  </si>
  <si>
    <t>Reserved. Used by logging firmware</t>
  </si>
  <si>
    <t>Data - Record 2</t>
  </si>
  <si>
    <t>Data - Record 3</t>
  </si>
  <si>
    <t>Data - Record 4</t>
  </si>
  <si>
    <t>Data - Record 5</t>
  </si>
  <si>
    <t>Data - Record 6</t>
  </si>
  <si>
    <t>Data - Record 7</t>
  </si>
  <si>
    <t>Data - Record 8</t>
  </si>
  <si>
    <t>Data - Record 9</t>
  </si>
  <si>
    <t>Data - Record 10</t>
  </si>
  <si>
    <t>IDU Error Log Upload by ODU Master</t>
  </si>
  <si>
    <t>0x31 - IDU</t>
  </si>
  <si>
    <t>IDU No</t>
  </si>
  <si>
    <t>Drain Pump status</t>
  </si>
  <si>
    <t>Command Frame From Debugger to ODU for ODU Configuration and Auto Address</t>
  </si>
  <si>
    <t>@Note:
1) This frame needs to be used for ODU Capacity, ODU Mode, Number of IDUs, Number of ODUs, Machine Type and auto-addressing setting through the configuration page.
2) The frame needs ot be updated to send the Slave 1, Slave 2 and Slave 3 related parameters
3) Also need to add a frame between ODUM(Master) and ODUS(Slave) which sends the Slave parameters to the respective Slave ODUs.
4) Whenever this frame is updated and the ODUM-ODUS frame is also added, there will be a change in ODU firmware.</t>
  </si>
  <si>
    <t>* |  O | C | System Type | Configuration Data | CRC| #</t>
  </si>
  <si>
    <t>System Type</t>
  </si>
  <si>
    <t>"D" - DVRF
"I" - IVRF
"F" - Freematch</t>
  </si>
  <si>
    <t>Configuration Data</t>
  </si>
  <si>
    <t>ODU Capacity Auto / Manual</t>
  </si>
  <si>
    <t>Auto = '0'
Manual = '1'</t>
  </si>
  <si>
    <t xml:space="preserve">IVRF - 
HP_0_Code   =   '0'
HP_7_Code   =  '1'
HP_8_Code   =  '2'
HP_10_Code =  '3'
HP_12_Code =  '4'
HP_14_Code =  '5'
HP_16_Code =  '6'
HP_18_Code =  '7'
HP_20_Code =  '8'
HP_22_Code =  '9'
DVRF -
HP_0_Code   =   '0'
HP_12_Code =  '1'
HP_14_Code =  '2'
HP_16_Code =  '3'
HP_18_Code =  '4'
HP_21_Code =  '5'
HP_24_Code =  '6'
HP_6_Code   =  '7'
HP_7_Code   =  '8'
Freematch -
HP_0_Code   =   '0'
HP_3_Code   =  '1'
HP_4_Code   =  '2'
HP_5_Code =  '3'
HP_6_Code =  '4'
HP_8_Code =  '5'                                                                                       </t>
  </si>
  <si>
    <t xml:space="preserve">0x30  = '0' = 0                                                                                         0x31 = '1' = 12 HP(35.2kw)                                                                0x32 = '2' = 14 HP(40.8kw)                                                                0x33 = '3' = 16 HP(46.9kw)                                                                0x34 = '4' = 18 HP(52.8kw)                                                                 0x35 = '5' = 21 HP(61.2kw)                                                                0x36 = '6' = 24 HP(70.4kw)        
0x37 = '7' = 6 HP
0x38 = '8' = 7HP  
Unsigned Char
For SIAM IVRF
0x30 = '0' = 0 HP					
0x31 = '1' = 7 HP					
0x32 = '2' = 8 HP					
0x33 = '3' = 10 HP					
0x34 = '4' = 12 HP					
0x35 = '5' = 14 HP					
0x36 = '6' = 16 HP					
0x37 = '7' = 18 HP					
0x38 = '8' = 20 HP					
0x39 = '9' = 22 HP					
0x43 = 'C' = 24 HP					
0x44 = 'D' = 26 HP					
0x45 = 'E' = 28 HP                                                                                                                            </t>
  </si>
  <si>
    <t>ODU Machine Type Auto / Manual</t>
  </si>
  <si>
    <t>ODU Machine Type</t>
  </si>
  <si>
    <t>SC = '0'
HP = '1'</t>
  </si>
  <si>
    <t>ODU Set Mode Auto / Manual</t>
  </si>
  <si>
    <t>ODU Set Mode</t>
  </si>
  <si>
    <t>Free = '0'
Heat = '1'
Cool = '2'</t>
  </si>
  <si>
    <t>System ID Auto / Manual</t>
  </si>
  <si>
    <t>No of IDUs Auto / Manual</t>
  </si>
  <si>
    <t>No fo Idus</t>
  </si>
  <si>
    <t>Range (0-64)d=(0-40)h=(0x30,0x30-0x34,0x30)ASCII</t>
  </si>
  <si>
    <t>No of ODUs Auto / Manual</t>
  </si>
  <si>
    <t>No of ODUs</t>
  </si>
  <si>
    <t>Range (0-4)d=(0-4)h=(0x30 -0x34)ASCII</t>
  </si>
  <si>
    <t>Set Auto Address Flag Auto / Manual</t>
  </si>
  <si>
    <t>Set Auto Address Flag</t>
  </si>
  <si>
    <t>Reset = '0'
Set = '1'</t>
  </si>
  <si>
    <t>Start Auto Address Auto / Manual</t>
  </si>
  <si>
    <t>Set Date Time Auto / Manual</t>
  </si>
  <si>
    <t>Set Date Time</t>
  </si>
  <si>
    <t>DDMMYYYYHHMN</t>
  </si>
  <si>
    <t>Reply Send from ODU Master</t>
  </si>
  <si>
    <t>* |  O | C | Y / N | CRC| #</t>
  </si>
  <si>
    <t>Y or N</t>
  </si>
  <si>
    <t>"Y" - Ack
"N" - Nack</t>
  </si>
  <si>
    <t>Slave 1 status</t>
  </si>
  <si>
    <t>if Byte = '1' slave is active                                                   else Byte = '0' slave is Inactive</t>
  </si>
  <si>
    <t>Slave 2 status</t>
  </si>
  <si>
    <t>PWM</t>
  </si>
  <si>
    <t xml:space="preserve">Range:(0-1000)d=(0-3E8)h                                              
Remove one dec point frm pc i.e. /10 since range changed from 1000 to 100                                                       (0x30,0x30,0x30 – 0x33,0x45,0x38)ASCII
</t>
  </si>
  <si>
    <t>PWM Mode</t>
  </si>
  <si>
    <t>Fix1Comp</t>
  </si>
  <si>
    <t>Fix1Comp Mode</t>
  </si>
  <si>
    <t>Fix2Comp</t>
  </si>
  <si>
    <t>Fix2Comp Mode</t>
  </si>
  <si>
    <t>LIA2</t>
  </si>
  <si>
    <t>LIA2 Mode</t>
  </si>
  <si>
    <t>EVIV</t>
  </si>
  <si>
    <t>0x30 = OFF                                                                      0x31 = ON                                                              display/disable this parameter on software screen</t>
  </si>
  <si>
    <t>EVIV Mode</t>
  </si>
  <si>
    <t>0x30 = Auto,0x31 = Manual                                          display/disable this parameter on software screen</t>
  </si>
  <si>
    <t>SLTM Mode</t>
  </si>
  <si>
    <t>SLTL Mode</t>
  </si>
  <si>
    <t>DMDL Mode</t>
  </si>
  <si>
    <t>MODE</t>
  </si>
  <si>
    <t>0x30 = setFREE                                                                   0x31 = setHEAT                                                                  0x32 = setCOOL</t>
  </si>
  <si>
    <t>ODU MODE Mode</t>
  </si>
  <si>
    <t>* |  M| D | Frame Count | System Data | Syatem ID| Data Type(U) | Protocol Version no | CRC| #</t>
  </si>
  <si>
    <t xml:space="preserve">D  </t>
  </si>
  <si>
    <t xml:space="preserve">0x30 = 0                                                                                         0x31 = 12 HP(35.2kw)                                                                0x32 = 14 HP(40.8kw)                                                                0x33 = 16 HP(46.9kw)                                                                0x34 = 18 HP(52.8kw)                                                                 0x35 = 21 HP(61.2kw)                                                                0x36 = 24 HP(70.4kw)                                                                                                                                        </t>
  </si>
  <si>
    <t xml:space="preserve">Temperature Range:-15.0 to 60.0                                                                        1 byte for polarity
‘+’ = Positive = 0x2B
 ‘-‘ = Negative = 0x2D                                                                           3 bytes for value                                                                    Decimal range : 0.0 to 140.0
Range: (0 to 1400)d=(0 to 0x578)h give dec point frm pc by/10 
(0x30,0x30,0x30 – 0x35,0x37,0x38)                                                      </t>
  </si>
  <si>
    <t xml:space="preserve">0x30 = 0                                                                                           0x31 = 12 HP(35.2kw)                                                                0x32 = 14 HP(40.8kw)                                                                0x33 = 16 HP(46.9kw)                                                                0x34 = 18 HP(52.8kw)                                                                 0x35 = 21 HP(61.2kw)                                                                0x36 = 24 HP(70.4kw)                                                                                                                                             </t>
  </si>
  <si>
    <t xml:space="preserve">0x30 = 0                                                                                          0x31 = 12 HP(35.2kw)                                                                0x32 = 14 HP(40.8kw)                                                                0x33 = 16 HP(46.9kw)                                                                 0x34 = 18 HP(52.8kw)                                                                 0x35 = 21 HP(61.2kw)                                                                0x36 = 24 HP(70.4kw)                                                                                                                                             </t>
  </si>
  <si>
    <t xml:space="preserve">Temperature Range:-15.0 to 60.0                                                                        1 byte for polarity
‘+’ = Positive = 0x2B
 ‘-‘ = Negative = 0x2D                                                                           3 bytes for value                                                              Decimal range : 0.0 to 140.0
Range: (0 to 1400)d=(0 to 0x578)h give dec point frm pc by/10 
(0x30,0x30,0x30 – 0x35,0x37,0x38)                                                      </t>
  </si>
  <si>
    <t>Range:(0-2112)d=(0x30,0x30,0x30 – 0x38,0x34,0x30)ASCII</t>
  </si>
  <si>
    <t>Range:(0-150)d=(provision for 0-999)d=                              (0x30,0x30,0x30-0x33,0x45,0x37)ASCII</t>
  </si>
  <si>
    <t>0x30 = Off                                                                          0x31 = Heat                                                                        0x32 = Cool                                                                         0x33 = Free</t>
  </si>
  <si>
    <t>0x31 = 2.8KW
0x32 = 3.5KW
0x33 = 4.6KW
0x34 = 5.3KW
0x35 = 7.0KW
0x36 = 7.7KW
0x37 = 8.8KW
0x38 = 10.6KW
0x39 = 12.3KW
0x40 = 14.1KW
0x41 = 17.6KW
0x42 = 19.3KW
0x43 = 21.1KW
0x44 = 23.9KW
0x45 = 28.1KW
0x46 = 35.2KW</t>
  </si>
  <si>
    <t xml:space="preserve">0x30 = Swing ON                                                                    0x31 = F1                                                                              0x32 = F2                                                                              0x33 = F3                                                                               0x34 = F4                                                                               0x35 = F5                                                                  </t>
  </si>
  <si>
    <t>* |  M| D | Frame Count | System Data | Syatem ID| Data Type(E) | Protocol Version no | CRC| #</t>
  </si>
  <si>
    <t>Range: (0 – 512)d=(0-200)h                                       (0x30,0x30,0x30 – 0x32,0x30,0x30)ASCII</t>
  </si>
  <si>
    <t>Digi current</t>
  </si>
  <si>
    <t xml:space="preserve">Range: (0-220)d=(0-DC)h      give dec point frm pc by/10                 (0x30,0x30 – 0x44,0x43)ASCII     </t>
  </si>
  <si>
    <t>Fix1 current</t>
  </si>
  <si>
    <t>Fix2 current</t>
  </si>
  <si>
    <t>DLT3</t>
  </si>
  <si>
    <t>supply voltage</t>
  </si>
  <si>
    <t>Range: (0 – 512)d=(0-200)h                                             (0x30,0x30,0x30 – 0x32,0x30,0x30)ASCII</t>
  </si>
  <si>
    <t>Decimal Range :(0-1000)d=(0-3E8)h                                      give dec point frm pc by/10                                           (0x30,0x30,0x30 – 0x33,0x45,0x38)ASCII</t>
  </si>
  <si>
    <t>Decimal Range :(0-1000)d=(0-3E8)h        give dec point frm pc by/10                                           (0x30,0x30,0x30 – 0x33,0x45,0x38)ASCII</t>
  </si>
  <si>
    <t>Decimal Range :(0-1000)d=(0-3E8)h                                      give dec point frm pc by/10                                                                            (0x30,0x30,0x30 – 0x33,0x45,0x38)ASCII</t>
  </si>
  <si>
    <t>SUMkw IDU Thermo ON</t>
  </si>
  <si>
    <t>DCLmax</t>
  </si>
  <si>
    <t xml:space="preserve">0x30 = Free                                                                          0x31 = Heat                                                                        0x32 = Cool                                                                       </t>
  </si>
  <si>
    <t>0x30 = Normal                                                           0x31 = Go defrost</t>
  </si>
  <si>
    <t>0x30 = Normal                                                          0x31 = Go defrost</t>
  </si>
  <si>
    <t xml:space="preserve">0x30 = Normal                                                         0x31 = Do Self oil recovery
0x32 = 
0x33 = </t>
  </si>
  <si>
    <t>0x30 = Normal
0x31 =                                                           0x32 = Supplier                                                                            0x33 = Receiver</t>
  </si>
  <si>
    <t>EVI</t>
  </si>
  <si>
    <t>Fix1 3 min off</t>
  </si>
  <si>
    <t>Fix2 3 min off</t>
  </si>
  <si>
    <t>CAPnew</t>
  </si>
  <si>
    <t xml:space="preserve">0x30 = 0                                                                                          0x31 = 12 HP(35.2kw)                                                          0x32 = 14 HP(40.8kw)                                                           0x33 = 16 HP(46.9kw)                                                             0x34 = 18 HP(52.8kw)                                                                 0x35 = 21 HP(61.2kw)                                                                0x36 = 24 HP(70.4kw)                                                                                                                                             </t>
  </si>
  <si>
    <t>CAPold</t>
  </si>
  <si>
    <t xml:space="preserve">0x30 = 0                                                                                          0x31 = 12 HP(35.2kw)                                                                0x32 = 14 HP(40.8kw)                                                                0x33 = 16 HP(46.9kw)                                                                0x34 = 18 HP(52.8kw)                                                                 0x35 = 21 HP(61.2kw)                                                                0x36 = 24 HP(70.4kw)                                                                                                                                             </t>
  </si>
  <si>
    <t xml:space="preserve">0x30 = Normal                                                        0x31 = Do Self oil recovery
0x32 = 
0x33 = </t>
  </si>
  <si>
    <t xml:space="preserve">0x30 = Normal                                                      0x31 = Do Self oil recovery
0x32 = 
0x33 = </t>
  </si>
  <si>
    <t xml:space="preserve">0x30 = 0                                                                                          0x31 = 12 HP(35.2kw)                                                          0x32 = 14 HP(40.8kw)                                                           0x33 = 16 HP(46.9kw)                                                             0x34 = 18 HP(52.8kw)                                                                 0x35 = 21 HP(61.2kw)                                                                0x36 = 24 HP(70.4kw)                                                                                                                                       </t>
  </si>
  <si>
    <t>OC</t>
  </si>
  <si>
    <t>performance mode on/off</t>
  </si>
  <si>
    <t>check mode</t>
  </si>
  <si>
    <t>silent mode</t>
  </si>
  <si>
    <t>Master Program Version</t>
  </si>
  <si>
    <t>Slave 1 Program Version</t>
  </si>
  <si>
    <t>Slave 2 Program Version</t>
  </si>
  <si>
    <t>* |  M| D | XXF | System Data | Syatem ID| Data Type(E) | Protocol Version no | CRC| #</t>
  </si>
  <si>
    <t>XXF</t>
  </si>
  <si>
    <t>Freematch</t>
  </si>
  <si>
    <t xml:space="preserve">0x30 = '0' = 0 HP                                                                                        0x31 = '1' = 3 HP                                                                0x32 = '2' = 4 HP                                                                0x33 = '3' = 5 HP                                                                0x34 = '4' = 6 HP                                                                 0x35 = '5' = 8 HP                                                                      
Unsigned Char                                                                                                            </t>
  </si>
  <si>
    <t>Inv 3 min off</t>
  </si>
  <si>
    <t>Drive F/w</t>
  </si>
  <si>
    <t>F/b RPS</t>
  </si>
  <si>
    <t>SV1</t>
  </si>
  <si>
    <t>CCH</t>
  </si>
  <si>
    <t>PFC status</t>
  </si>
  <si>
    <t>Digital O/p</t>
  </si>
  <si>
    <t>Extra O/p</t>
  </si>
  <si>
    <t>0x30 = OFF                                                                                                       0x31 = Low
0x32 = High</t>
  </si>
  <si>
    <t>EXV Step</t>
  </si>
  <si>
    <t>T mid</t>
  </si>
  <si>
    <t xml:space="preserve">Extra </t>
  </si>
  <si>
    <t>Warning</t>
  </si>
  <si>
    <t>0-65535 [0-ffff]</t>
  </si>
  <si>
    <t>Last Warning</t>
  </si>
  <si>
    <t>Inv Current</t>
  </si>
  <si>
    <t>AC Input current</t>
  </si>
  <si>
    <t>Input Current limit</t>
  </si>
  <si>
    <t>Shutdown error code 1</t>
  </si>
  <si>
    <t>Shutdown error code 2</t>
  </si>
  <si>
    <t>Warning error code</t>
  </si>
  <si>
    <t>Heat Sink Temperature</t>
  </si>
  <si>
    <t>Heat sink overheat warning value</t>
  </si>
  <si>
    <t>AC Input Voltage</t>
  </si>
  <si>
    <t>DC Bus Voltage</t>
  </si>
  <si>
    <t>Drive output voltage</t>
  </si>
  <si>
    <t>Maximum frequency</t>
  </si>
  <si>
    <t>Driver working status</t>
  </si>
  <si>
    <t>0-9[0-9]</t>
  </si>
  <si>
    <t>HP SW</t>
  </si>
  <si>
    <t>LP SW</t>
  </si>
  <si>
    <t>Inv_Phase_Lack_Protection</t>
  </si>
  <si>
    <t>Inv_DC_UV_OV_Protection</t>
  </si>
  <si>
    <t>Inv_AC_Vtg_Protection</t>
  </si>
  <si>
    <t>Inv Current Protection(CP)</t>
  </si>
  <si>
    <t>Freqn_Not_Raise_Or_Drop_Status</t>
  </si>
  <si>
    <t>Inv IPM Temp Protection(IT)</t>
  </si>
  <si>
    <t>IPM_Sensor_Failure_Protection</t>
  </si>
  <si>
    <t xml:space="preserve">Pretrip_Count_For_Current_Protection </t>
  </si>
  <si>
    <t xml:space="preserve">Pretrip_Count_For_Phase_Lack_Protection  </t>
  </si>
  <si>
    <t xml:space="preserve">Pretrip_Count_For_IPM_Protection </t>
  </si>
  <si>
    <t>NOTE:
1. By default, mode selection for every parameter is Auto.
2. For Reserved Bytes - respective Mode field will always be Auto
3. Slave 1, Slave 2, Slave 3 does not exist.</t>
  </si>
  <si>
    <t>RPS</t>
  </si>
  <si>
    <t>SV1 Mode</t>
  </si>
  <si>
    <t>PFC</t>
  </si>
  <si>
    <t>PFC Mode</t>
  </si>
  <si>
    <t>Reserved 1</t>
  </si>
  <si>
    <t>Reserved 1 Mode</t>
  </si>
  <si>
    <t>Reserved 2</t>
  </si>
  <si>
    <t>Reserved 2 Mode</t>
  </si>
  <si>
    <t>Reserved 3</t>
  </si>
  <si>
    <t>Reserved 3 Mode</t>
  </si>
  <si>
    <t>Reserved 4</t>
  </si>
  <si>
    <t>Reserved 4 Mode</t>
  </si>
  <si>
    <t>Reserved 5</t>
  </si>
  <si>
    <t>Reserved 5 Mode</t>
  </si>
  <si>
    <t>Reserved 6</t>
  </si>
  <si>
    <t>Reserved 6 Mode</t>
  </si>
  <si>
    <t>Reserved 7</t>
  </si>
  <si>
    <t>Reserved 7 Mode</t>
  </si>
  <si>
    <t>Reserved 8</t>
  </si>
  <si>
    <t>Reserved 8 Mode</t>
  </si>
  <si>
    <t>Reserved 9</t>
  </si>
  <si>
    <t>Reserved 9 Mode</t>
  </si>
  <si>
    <t>Reserved 10</t>
  </si>
  <si>
    <t>Reserved 10 Mode</t>
  </si>
  <si>
    <t>Set ODU MODE</t>
  </si>
  <si>
    <t>0x30 = OFF                                                                      0x31 = Low
0x32 = High</t>
  </si>
  <si>
    <t>Reserved 11</t>
  </si>
  <si>
    <t>0x31</t>
  </si>
  <si>
    <t>INTERACTION ALGORITHM
1.1 INITIATION OF COMMUNICATION
All communication will be initiated by PC Monitoring software as Master. 
1.2 RULES OF COMMUNICATION
1.  All communication will happen using the serial interface (RS485) at 57600-8-N-1.
2.  All communication will be initiated by PC Monitoring. The ODU Master of requested system will send data frame if CRC matched else send the NACK frame as reply. Once data frame is received by PC, PC will update data if CRC is matched.
3. 16 bit  CRC calculated including  'Start of frame'. It will be in ASCII hex format so 4 bytes will be required for it.
All bytes in a frame will be in ASCII hex format.</t>
  </si>
  <si>
    <t>PC Comm frame</t>
  </si>
  <si>
    <t>System ID1</t>
  </si>
  <si>
    <t>System ID2</t>
  </si>
  <si>
    <t>User Frame</t>
  </si>
  <si>
    <t>*PC0C0101U0145A1#</t>
  </si>
  <si>
    <t>*PC0C0201U0176A1#</t>
  </si>
  <si>
    <t>Eng Frame</t>
  </si>
  <si>
    <t>*PC0C0101E0180A0#</t>
  </si>
  <si>
    <t>*PC0C0201E01B3A0#</t>
  </si>
  <si>
    <t>*PC0B010201B1C8#</t>
  </si>
  <si>
    <t>*PC0B020201B18C#</t>
  </si>
  <si>
    <t>Start of bl</t>
  </si>
  <si>
    <t>*B1000100FC0101D8FE#</t>
  </si>
  <si>
    <t>BL progr</t>
  </si>
  <si>
    <t>*B10001215C02222222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010E0E#</t>
  </si>
  <si>
    <t>bl polling</t>
  </si>
  <si>
    <t>*B1000100FC0301185F#</t>
  </si>
  <si>
    <t>*BA000100ER1012C80#</t>
  </si>
  <si>
    <t>*BA000100ER001ECD1#</t>
  </si>
  <si>
    <t>end of bl</t>
  </si>
  <si>
    <t>*B1000100FC0401D9EE#</t>
  </si>
  <si>
    <t>Successful Reply</t>
  </si>
  <si>
    <t>Failed Reply</t>
  </si>
  <si>
    <t>User frame</t>
  </si>
  <si>
    <t xml:space="preserve">*MD7064+0F00+0000+0000000000321003220900000000000000XXXXX2100+0EBD221100010000000000X2100+0EBC421120000000000000X2100+0F0F221100000000000000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U034AAE# 
</t>
  </si>
  <si>
    <t>Engg Frame</t>
  </si>
  <si>
    <t xml:space="preserve">*MD0FA41C2047+33-090000000F01180F0+127+05A+118+163+0F00000000000+00+00000000000000000+000+000+000+000+0000000000000+00+00000000000000000+000+000+000+000+00000001B1000000006101E01E00000000000000000000001E01E00000000000000000000001E01E000000003210032209700000000000000000000000000202400D30000007000000000000000006D0000000000000000000000000000000000000000000000000000000000000000000000000000000000000000000000000010100200300000180000XXXXX210064+46+0F0+0F0D2+000+0F015211101a0000+000201020010000000000X210064+73+0EB+0EBC4+000+0F015211120a0000+004201020000000000000X210064+46+0F0+0F0F2+000+0F015211101a0000+000201020000000000000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000000+00+000+00011+000+00005000001a0000+000000000000000000000X01E03BAC5#
</t>
  </si>
  <si>
    <t>74</t>
  </si>
  <si>
    <t>178-180</t>
  </si>
  <si>
    <t>PWMC</t>
  </si>
  <si>
    <t>Decimal Range :0-1000</t>
  </si>
  <si>
    <t>give dec point form pc by/10</t>
  </si>
  <si>
    <t>0x33,0x45,0x38</t>
  </si>
  <si>
    <t>b)</t>
  </si>
  <si>
    <t>SLAVE1</t>
  </si>
  <si>
    <t>75</t>
  </si>
  <si>
    <t>181-183</t>
  </si>
  <si>
    <t>76</t>
  </si>
  <si>
    <t>184</t>
  </si>
  <si>
    <t>0x30 = OFF</t>
  </si>
  <si>
    <t>0x31 = ON</t>
  </si>
  <si>
    <t>77</t>
  </si>
  <si>
    <t>185</t>
  </si>
  <si>
    <t>78</t>
  </si>
  <si>
    <t>186</t>
  </si>
  <si>
    <t>79</t>
  </si>
  <si>
    <t>187</t>
  </si>
  <si>
    <t>80</t>
  </si>
  <si>
    <t>188</t>
  </si>
  <si>
    <t>81</t>
  </si>
  <si>
    <t>189</t>
  </si>
  <si>
    <t>82</t>
  </si>
  <si>
    <t>190</t>
  </si>
  <si>
    <t>83</t>
  </si>
  <si>
    <t>191</t>
  </si>
  <si>
    <t>84</t>
  </si>
  <si>
    <t>192</t>
  </si>
  <si>
    <t>85</t>
  </si>
  <si>
    <t>193</t>
  </si>
  <si>
    <t>86</t>
  </si>
  <si>
    <t>194</t>
  </si>
  <si>
    <t>87</t>
  </si>
  <si>
    <t>195</t>
  </si>
  <si>
    <t>88</t>
  </si>
  <si>
    <t>196-198</t>
  </si>
  <si>
    <t>Decimal Range : 0 – 520</t>
  </si>
  <si>
    <t>ASCII hex range : 0x30,0x30,0x30 – 0x32,0x30,0x38</t>
  </si>
  <si>
    <t>89</t>
  </si>
  <si>
    <t>199-201</t>
  </si>
  <si>
    <t>90</t>
  </si>
  <si>
    <t>202-204</t>
  </si>
  <si>
    <t>Fan speed rpm</t>
  </si>
  <si>
    <t>0-1000rpm</t>
  </si>
  <si>
    <t>0x30,0x30,0x30-0x33,0x45,0x38</t>
  </si>
  <si>
    <t>91</t>
  </si>
  <si>
    <t>205-207</t>
  </si>
  <si>
    <t>give dec point from pc by/10</t>
  </si>
  <si>
    <t>c)</t>
  </si>
  <si>
    <t>SLAVE2</t>
  </si>
  <si>
    <t>92</t>
  </si>
  <si>
    <t>208-210</t>
  </si>
  <si>
    <t>93</t>
  </si>
  <si>
    <t>211</t>
  </si>
  <si>
    <t>94</t>
  </si>
  <si>
    <t>212</t>
  </si>
  <si>
    <t>95</t>
  </si>
  <si>
    <t>213</t>
  </si>
  <si>
    <t>96</t>
  </si>
  <si>
    <t>214</t>
  </si>
  <si>
    <t>97</t>
  </si>
  <si>
    <t>215</t>
  </si>
  <si>
    <t>98</t>
  </si>
  <si>
    <t>216</t>
  </si>
  <si>
    <t>99</t>
  </si>
  <si>
    <t>217</t>
  </si>
  <si>
    <t>100</t>
  </si>
  <si>
    <t>218</t>
  </si>
  <si>
    <t>101</t>
  </si>
  <si>
    <t>219</t>
  </si>
  <si>
    <t>102</t>
  </si>
  <si>
    <t>220</t>
  </si>
  <si>
    <t>103</t>
  </si>
  <si>
    <t>221</t>
  </si>
  <si>
    <t>104</t>
  </si>
  <si>
    <t>222</t>
  </si>
  <si>
    <t>105</t>
  </si>
  <si>
    <t>223-225</t>
  </si>
  <si>
    <t>106</t>
  </si>
  <si>
    <t>226-228</t>
  </si>
  <si>
    <t>107</t>
  </si>
  <si>
    <t>229-231</t>
  </si>
  <si>
    <t>108</t>
  </si>
  <si>
    <t>232-234</t>
  </si>
  <si>
    <t>C)</t>
  </si>
  <si>
    <t xml:space="preserve">SYSTEM </t>
  </si>
  <si>
    <t>a)</t>
  </si>
  <si>
    <t>SYSTEM</t>
  </si>
  <si>
    <t>109</t>
  </si>
  <si>
    <t>235-236</t>
  </si>
  <si>
    <t>Decimal Range : 1-64</t>
  </si>
  <si>
    <t>ASCII hex range : 0x30,0x31 – 0x33,0x45</t>
  </si>
  <si>
    <t>110</t>
  </si>
  <si>
    <t>237-239</t>
  </si>
  <si>
    <t>0-2112</t>
  </si>
  <si>
    <t>ASCII hex range : 0x30,0x30,0x30 – 0x38,0x34,0x30</t>
  </si>
  <si>
    <t>111</t>
  </si>
  <si>
    <t>240-243</t>
  </si>
  <si>
    <t>0-21824</t>
  </si>
  <si>
    <t>ASCII hex range : 0x30,0x30,0x30,0x30 – 0x35,0x35,0x34,0x30</t>
  </si>
  <si>
    <t>112</t>
  </si>
  <si>
    <t>244-246</t>
  </si>
  <si>
    <t>0-150(provision for 0-999) 0x30,0x39,0x36</t>
  </si>
  <si>
    <t>113</t>
  </si>
  <si>
    <t>247-250</t>
  </si>
  <si>
    <t>114</t>
  </si>
  <si>
    <t>251-252</t>
  </si>
  <si>
    <t>0-101</t>
  </si>
  <si>
    <t>ASCII hex range:0x30,0x30 – 0x36,0x35</t>
  </si>
  <si>
    <t>115</t>
  </si>
  <si>
    <t>253-256</t>
  </si>
  <si>
    <t>116</t>
  </si>
  <si>
    <t>257-260</t>
  </si>
  <si>
    <t>117</t>
  </si>
  <si>
    <t>261-264</t>
  </si>
  <si>
    <t>118</t>
  </si>
  <si>
    <t>265-268</t>
  </si>
  <si>
    <t>119</t>
  </si>
  <si>
    <t>269-272</t>
  </si>
  <si>
    <t>120</t>
  </si>
  <si>
    <t>273</t>
  </si>
  <si>
    <t>0x30 = Off</t>
  </si>
  <si>
    <t>0x31 = Heat</t>
  </si>
  <si>
    <t>0x32 = Cool</t>
  </si>
  <si>
    <t>0x33 = Free</t>
  </si>
  <si>
    <t>121</t>
  </si>
  <si>
    <t>274</t>
  </si>
  <si>
    <t>0x30 = Normal operation</t>
  </si>
  <si>
    <t>0x31 = Go defrost</t>
  </si>
  <si>
    <t>122</t>
  </si>
  <si>
    <t>275</t>
  </si>
  <si>
    <t>D)</t>
  </si>
  <si>
    <t>GENERAL</t>
  </si>
  <si>
    <t>MASTER</t>
  </si>
  <si>
    <t>123</t>
  </si>
  <si>
    <t> Delete</t>
  </si>
  <si>
    <t>0x30 = 0,0x31 = 12 HP,0x32 = 14 HP,0x33 = 16 HP,0x34 = 18 HP,0x35 = 21 HP,0x36 = 24 HP</t>
  </si>
  <si>
    <t>124</t>
  </si>
  <si>
    <t>275-278</t>
  </si>
  <si>
    <t>Decimal Range :0-21824</t>
  </si>
  <si>
    <t>125</t>
  </si>
  <si>
    <t>279</t>
  </si>
  <si>
    <t>126</t>
  </si>
  <si>
    <t>280</t>
  </si>
  <si>
    <t>0x30 = Normal</t>
  </si>
  <si>
    <t>0x31 = Do self oil recovery</t>
  </si>
  <si>
    <t>127</t>
  </si>
  <si>
    <t>281</t>
  </si>
  <si>
    <t>0x31 = Supplier</t>
  </si>
  <si>
    <t>0x32 = receiver</t>
  </si>
  <si>
    <t>128</t>
  </si>
  <si>
    <t>282</t>
  </si>
  <si>
    <t>129</t>
  </si>
  <si>
    <t>283</t>
  </si>
  <si>
    <t xml:space="preserve">vaccum injection valve </t>
  </si>
  <si>
    <t>130</t>
  </si>
  <si>
    <t>284-286</t>
  </si>
  <si>
    <t>131</t>
  </si>
  <si>
    <t>287</t>
  </si>
  <si>
    <t>132</t>
  </si>
  <si>
    <t>288</t>
  </si>
  <si>
    <t>133</t>
  </si>
  <si>
    <t>289</t>
  </si>
  <si>
    <t>134</t>
  </si>
  <si>
    <t>290-291</t>
  </si>
  <si>
    <t>e.g-0xE6</t>
  </si>
  <si>
    <t>135</t>
  </si>
  <si>
    <t>292-293</t>
  </si>
  <si>
    <t>136</t>
  </si>
  <si>
    <t>294</t>
  </si>
  <si>
    <t>137</t>
  </si>
  <si>
    <t>295</t>
  </si>
  <si>
    <t>138</t>
  </si>
  <si>
    <t>296-298</t>
  </si>
  <si>
    <t>Decimal Range : 0-704</t>
  </si>
  <si>
    <t>ASCII hex range : 0x30,0x30,0x30 – 0x32,0x43,0x30</t>
  </si>
  <si>
    <t>139</t>
  </si>
  <si>
    <t>299</t>
  </si>
  <si>
    <t>140</t>
  </si>
  <si>
    <t>300-303</t>
  </si>
  <si>
    <t>141</t>
  </si>
  <si>
    <t>304</t>
  </si>
  <si>
    <t>142</t>
  </si>
  <si>
    <t>305</t>
  </si>
  <si>
    <t>143</t>
  </si>
  <si>
    <t>306</t>
  </si>
  <si>
    <t>144</t>
  </si>
  <si>
    <t>307</t>
  </si>
  <si>
    <t>145</t>
  </si>
  <si>
    <t>308</t>
  </si>
  <si>
    <t>146</t>
  </si>
  <si>
    <t>309-311</t>
  </si>
  <si>
    <t>147</t>
  </si>
  <si>
    <t>312</t>
  </si>
  <si>
    <t>148</t>
  </si>
  <si>
    <t>313</t>
  </si>
  <si>
    <t>149</t>
  </si>
  <si>
    <t>314</t>
  </si>
  <si>
    <t>150</t>
  </si>
  <si>
    <t>315-316</t>
  </si>
  <si>
    <t>151</t>
  </si>
  <si>
    <t>317-318</t>
  </si>
  <si>
    <t>152</t>
  </si>
  <si>
    <t>319</t>
  </si>
  <si>
    <t>153</t>
  </si>
  <si>
    <t>320</t>
  </si>
  <si>
    <t>154</t>
  </si>
  <si>
    <t>321-323</t>
  </si>
  <si>
    <t>324</t>
  </si>
  <si>
    <t>325-328</t>
  </si>
  <si>
    <t>329</t>
  </si>
  <si>
    <t>330</t>
  </si>
  <si>
    <t>331</t>
  </si>
  <si>
    <t>332</t>
  </si>
  <si>
    <t>333</t>
  </si>
  <si>
    <t>334-336</t>
  </si>
  <si>
    <t>337</t>
  </si>
  <si>
    <t>338</t>
  </si>
  <si>
    <t>339</t>
  </si>
  <si>
    <t>340-341</t>
  </si>
  <si>
    <t>342-343</t>
  </si>
  <si>
    <t>344</t>
  </si>
  <si>
    <t>345</t>
  </si>
  <si>
    <t>346-348</t>
  </si>
  <si>
    <t>E)</t>
  </si>
  <si>
    <t>PROTECTION</t>
  </si>
  <si>
    <t>349</t>
  </si>
  <si>
    <t>Error Absent/Present</t>
  </si>
  <si>
    <t>350</t>
  </si>
  <si>
    <t>351</t>
  </si>
  <si>
    <t>352</t>
  </si>
  <si>
    <t>353</t>
  </si>
  <si>
    <t>354</t>
  </si>
  <si>
    <t>over current</t>
  </si>
  <si>
    <t>355</t>
  </si>
  <si>
    <t>phase reversal</t>
  </si>
  <si>
    <t>356</t>
  </si>
  <si>
    <t>357</t>
  </si>
  <si>
    <t>single phasing</t>
  </si>
  <si>
    <t>358</t>
  </si>
  <si>
    <t>359</t>
  </si>
  <si>
    <t>under voltage</t>
  </si>
  <si>
    <t>360</t>
  </si>
  <si>
    <t>over voltage</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</si>
  <si>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</si>
  <si>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</si>
  <si>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</si>
  <si>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</si>
  <si>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</si>
  <si>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</si>
  <si>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</si>
  <si>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</si>
  <si>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</si>
  <si>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</si>
  <si>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</si>
  <si>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</si>
  <si>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</si>
  <si>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</si>
  <si>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</si>
  <si>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</si>
  <si>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</si>
  <si>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</si>
  <si>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</si>
  <si>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</si>
  <si>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</si>
  <si>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</si>
  <si>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</si>
  <si>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</si>
  <si>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F)</t>
  </si>
  <si>
    <t>PRIORITIES</t>
  </si>
  <si>
    <t>385</t>
  </si>
  <si>
    <t>priority disable/enable</t>
  </si>
  <si>
    <t>0x30 = DISABLE</t>
  </si>
  <si>
    <t>0x31 = ENABLE</t>
  </si>
  <si>
    <t>386</t>
  </si>
  <si>
    <t>387</t>
  </si>
  <si>
    <t>compressor start</t>
  </si>
  <si>
    <t>388</t>
  </si>
  <si>
    <t>389</t>
  </si>
  <si>
    <t>390</t>
  </si>
  <si>
    <t>391</t>
  </si>
  <si>
    <t>392</t>
  </si>
  <si>
    <t>393</t>
  </si>
  <si>
    <t>G)</t>
  </si>
  <si>
    <t xml:space="preserve">SWITCH </t>
  </si>
  <si>
    <t>394</t>
  </si>
  <si>
    <t>395</t>
  </si>
  <si>
    <t>396</t>
  </si>
  <si>
    <t>0x30 = 0</t>
  </si>
  <si>
    <t>0x31 = 1, 0x32 = 2</t>
  </si>
  <si>
    <t>397</t>
  </si>
  <si>
    <t>398</t>
  </si>
  <si>
    <t>0x31 = 1, 0x32 = 2, 0x33 = 3</t>
  </si>
  <si>
    <t>NA</t>
  </si>
  <si>
    <t>399</t>
  </si>
  <si>
    <t>0x30 = Fan</t>
  </si>
  <si>
    <t>0x33 = Dry</t>
  </si>
  <si>
    <t>400</t>
  </si>
  <si>
    <t>0x31 = On</t>
  </si>
  <si>
    <t>401-402</t>
  </si>
  <si>
    <t>not defined E6</t>
  </si>
  <si>
    <t>403-404</t>
  </si>
  <si>
    <t>Decimal range: 0 – 101</t>
  </si>
  <si>
    <t>405-407</t>
  </si>
  <si>
    <t>1 byte for polarity</t>
  </si>
  <si>
    <t>‘+’ = Positive</t>
  </si>
  <si>
    <t xml:space="preserve"> ‘-‘ = Negative</t>
  </si>
  <si>
    <t>And</t>
  </si>
  <si>
    <t>2 bytes for Value</t>
  </si>
  <si>
    <t>Decimal range 0.0 to 5.0</t>
  </si>
  <si>
    <t>For communication range is 0 to 50</t>
  </si>
  <si>
    <t>Hex range 0x00 to 0x32</t>
  </si>
  <si>
    <t>ASCII range 0x30,0x30 to</t>
  </si>
  <si>
    <t>0x33,0x32</t>
  </si>
  <si>
    <t>408-411</t>
  </si>
  <si>
    <t>Range: -15.0 to 60.0 °C with resolution of 0.5</t>
  </si>
  <si>
    <t>Total 4 bytes</t>
  </si>
  <si>
    <t>3 bytes for value</t>
  </si>
  <si>
    <t>Decimal range : 0.0 to 60.0</t>
  </si>
  <si>
    <t>For communication range is 0 to 600</t>
  </si>
  <si>
    <t>ASCII hex range: 0 to 0x258</t>
  </si>
  <si>
    <t>0x30,0x30,0x30 – 0x32,0x35,0</t>
  </si>
  <si>
    <t>412-415</t>
  </si>
  <si>
    <t>Range: -45.0 to 140.0 °C with resolution of 0.5</t>
  </si>
  <si>
    <t>-ve temperature sign,give dec point from pc by/10</t>
  </si>
  <si>
    <t>Decimal range : 0.0 to 140.0</t>
  </si>
  <si>
    <t>For communication range is 0 to 1400</t>
  </si>
  <si>
    <t>ASCII hex range: 0 to 0x578</t>
  </si>
  <si>
    <t>0x30,0x30,0x30 – 0x35,0x3</t>
  </si>
  <si>
    <t>416</t>
  </si>
  <si>
    <t>0x31 = 2.8</t>
  </si>
  <si>
    <t>0x32 = 3.5</t>
  </si>
  <si>
    <t>0x33 = 4.6</t>
  </si>
  <si>
    <t>0x34 = 5.3</t>
  </si>
  <si>
    <t>0x35 = 7.0</t>
  </si>
  <si>
    <t>0x36 = 7.7</t>
  </si>
  <si>
    <t>0x37 = 8.8</t>
  </si>
  <si>
    <t>0x38 = 10.6</t>
  </si>
  <si>
    <t>0x39 = 12.3</t>
  </si>
  <si>
    <t>0x40 = 14.1</t>
  </si>
  <si>
    <t>0x41 = 17.6</t>
  </si>
  <si>
    <t>0x42 = 19.3</t>
  </si>
  <si>
    <t>0x43 = 21.1</t>
  </si>
  <si>
    <t>0x44 = 23.9</t>
  </si>
  <si>
    <t>0x45 = 28.1</t>
  </si>
  <si>
    <t>0x46 = 35.2</t>
  </si>
  <si>
    <t>417</t>
  </si>
  <si>
    <t>0x31 = Hi wall</t>
  </si>
  <si>
    <t>0x32 = Ducted</t>
  </si>
  <si>
    <t>0x33 = 4 way</t>
  </si>
  <si>
    <t>0x34 = Mini 4 way</t>
  </si>
  <si>
    <t>0x35 = Ceiling concealed</t>
  </si>
  <si>
    <t>0x36 = Floor</t>
  </si>
  <si>
    <t>0x37 = TFA</t>
  </si>
  <si>
    <t>0x38 = Heat recovery</t>
  </si>
  <si>
    <t>418-421</t>
  </si>
  <si>
    <t>422-425</t>
  </si>
  <si>
    <t>426</t>
  </si>
  <si>
    <t>427</t>
  </si>
  <si>
    <t>Fan control</t>
  </si>
  <si>
    <t>0x30 = Stop</t>
  </si>
  <si>
    <t>0x31 = LL</t>
  </si>
  <si>
    <t>0x32 = L</t>
  </si>
  <si>
    <t>0x33 =M</t>
  </si>
  <si>
    <t>0x34 = H</t>
  </si>
  <si>
    <t>0x35 = Free</t>
  </si>
  <si>
    <t>428</t>
  </si>
  <si>
    <t>429-430</t>
  </si>
  <si>
    <t>Decimal range: 0-30</t>
  </si>
  <si>
    <t>0x30,0x30-0x31,0x45</t>
  </si>
  <si>
    <t>431</t>
  </si>
  <si>
    <t>432</t>
  </si>
  <si>
    <t>Decimal range: 1-5</t>
  </si>
  <si>
    <t>0x31-0x35</t>
  </si>
  <si>
    <t>433</t>
  </si>
  <si>
    <t>434-438</t>
  </si>
  <si>
    <t>Decimal Range : -520 to 520</t>
  </si>
  <si>
    <t>Total 5bytes</t>
  </si>
  <si>
    <t>1 for polarity</t>
  </si>
  <si>
    <t>+’ = Positive</t>
  </si>
  <si>
    <t xml:space="preserve"> ‘-‘ = Negative         </t>
  </si>
  <si>
    <t>'a' = absolute And</t>
  </si>
  <si>
    <t>4 bytes for value</t>
  </si>
  <si>
    <t>ASCII hex range: 0 to 0x208</t>
  </si>
  <si>
    <t>0x00,0x00,0x00 – 0x32,0x30,0x38</t>
  </si>
  <si>
    <t>439-442</t>
  </si>
  <si>
    <t>delta coil</t>
  </si>
  <si>
    <t>Decimal range: -20.0 to 30.0 °C with resolution of 0.5</t>
  </si>
  <si>
    <t>Decimal range: 0.0 to 30.0</t>
  </si>
  <si>
    <t>For communication range is 0 to 300</t>
  </si>
  <si>
    <t>ASCII hex range 0 to 0x12C</t>
  </si>
  <si>
    <t>0x30,0x30,0x30 – 0x31,0</t>
  </si>
  <si>
    <t>Total Bytes</t>
  </si>
  <si>
    <t>Command Frame From ATE / PCM / Debugger to ODU Master for Miscellaneous Information</t>
  </si>
  <si>
    <t>* |  P | M | I | System ID | CRC | #</t>
  </si>
  <si>
    <t>Miscellaneous</t>
  </si>
  <si>
    <t>Information</t>
  </si>
  <si>
    <t>* |  P | M | I | System ID | System Type | Data | CRC| #</t>
  </si>
  <si>
    <t>D' - DVRF
'I' - IVRF
'F' - Freematch</t>
  </si>
  <si>
    <t>Master Data</t>
  </si>
  <si>
    <t>0 to FF. Convert Ascii to Hex</t>
  </si>
  <si>
    <t>ODU Fan F/w</t>
  </si>
  <si>
    <t>ODU Control F/w</t>
  </si>
  <si>
    <t>Inverter Drive 1 F/w</t>
  </si>
  <si>
    <t>Inverter Drive 2 F/w</t>
  </si>
  <si>
    <t>Slave 1 Data</t>
  </si>
  <si>
    <t>Slave 2 Data</t>
  </si>
  <si>
    <t>Slave 3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</si>
</sst>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mmm\-yy;@"/>
  </numFmts>
  <fonts count="24">
    <font>
      <sz val="10"/>
      <name val="Arial"/>
    </font>
    <font>
      <sz val="9"/>
      <name val="Arial"/>
    </font>
    <font>
      <sz val="12"/>
      <name val="Arial"/>
    </font>
    <font>
      <b/>
      <sz val="9"/>
      <name val="Arial"/>
    </font>
    <font>
      <sz val="9"/>
      <color indexed="8"/>
      <name val="Calibri"/>
    </font>
    <font>
      <b/>
      <sz val="10"/>
      <name val="Arial"/>
    </font>
    <font>
      <sz val="10"/>
      <color indexed="10"/>
      <name val="Arial"/>
    </font>
    <font>
      <sz val="9"/>
      <color indexed="8"/>
      <name val="Arial"/>
    </font>
    <font>
      <sz val="11"/>
      <name val="Arial"/>
    </font>
    <font>
      <b/>
      <sz val="12"/>
      <name val="Arial"/>
    </font>
    <font>
      <sz val="10"/>
      <color indexed="8"/>
      <name val="Arial"/>
    </font>
    <font>
      <b/>
      <sz val="11"/>
      <name val="Calibri"/>
    </font>
    <font>
      <sz val="11"/>
      <name val="Calibri"/>
    </font>
    <font>
      <sz val="11"/>
      <color rgb="FF0070C0"/>
      <name val="Calibri"/>
    </font>
    <font>
      <sz val="11"/>
      <color indexed="12"/>
      <name val="Calibri"/>
    </font>
    <font>
      <sz val="11"/>
      <color indexed="8"/>
      <name val="Calibri"/>
    </font>
    <font>
      <sz val="9"/>
      <color indexed="12"/>
      <name val="Arial"/>
    </font>
    <font>
      <sz val="10"/>
      <color indexed="12"/>
      <name val="Arial"/>
    </font>
    <font>
      <b/>
      <sz val="12"/>
      <color indexed="51"/>
      <name val="Arial"/>
    </font>
    <font>
      <sz val="11"/>
      <color indexed="8"/>
      <name val="ＭＳ Ｐゴシック"/>
    </font>
    <font>
      <sz val="11"/>
      <color indexed="54"/>
      <name val="Calibri"/>
    </font>
    <font>
      <sz val="11"/>
      <color indexed="30"/>
      <name val="Calibri"/>
    </font>
    <font>
      <b/>
      <sz val="9"/>
      <color rgb="FFFFC000"/>
      <name val="Arial"/>
    </font>
    <font>
      <sz val="10"/>
      <name val="Arial"/>
    </font>
  </fonts>
  <fills count="1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rgb="FFB464C7"/>
        <bgColor indexed="64"/>
      </patternFill>
    </fill>
    <fill>
      <patternFill patternType="solid">
        <fgColor indexed="8"/>
        <bgColor indexed="64"/>
      </patternFill>
    </fill>
    <fill>
      <patternFill patternType="solid">
        <fgColor rgb="FF8EA9DB"/>
        <bgColor indexed="64"/>
      </patternFill>
    </fill>
    <fill>
      <patternFill patternType="solid">
        <fgColor theme="7" tint="0.39994506668294322"/>
        <bgColor indexed="64"/>
      </patternFill>
    </fill>
    <fill>
      <patternFill patternType="solid">
        <fgColor indexed="45"/>
        <bgColor indexed="64"/>
      </patternFill>
    </fill>
    <fill>
      <patternFill patternType="solid">
        <fgColor theme="8" tint="0.39994506668294322"/>
        <bgColor indexed="64"/>
      </patternFill>
    </fill>
    <fill>
      <patternFill patternType="solid">
        <fgColor theme="9" tint="0.79995117038483843"/>
        <bgColor indexed="64"/>
      </patternFill>
    </fill>
    <fill>
      <patternFill patternType="solid">
        <fgColor indexed="11"/>
        <bgColor indexed="64"/>
      </patternFill>
    </fill>
    <fill>
      <patternFill patternType="solid">
        <fgColor theme="9" tint="0.39997558519241921"/>
        <bgColor indexed="64"/>
      </patternFill>
    </fill>
    <fill>
      <patternFill patternType="solid">
        <fgColor indexed="47"/>
        <bgColor indexed="64"/>
      </patternFill>
    </fill>
    <fill>
      <patternFill patternType="solid">
        <fgColor indexed="23"/>
        <bgColor indexed="64"/>
      </patternFill>
    </fill>
    <fill>
      <patternFill patternType="solid">
        <fgColor theme="6" tint="0.59999389629810485"/>
        <bgColor indexed="64"/>
      </patternFill>
    </fill>
  </fills>
  <borders count="23">
    <border>
      <left/>
      <right/>
      <top/>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indexed="63"/>
      </left>
      <right style="thin">
        <color indexed="63"/>
      </right>
      <top/>
      <bottom/>
      <diagonal/>
    </border>
    <border>
      <left style="thin">
        <color indexed="63"/>
      </left>
      <right style="thin">
        <color indexed="63"/>
      </right>
      <top/>
      <bottom style="thin">
        <color indexed="63"/>
      </bottom>
      <diagonal/>
    </border>
    <border>
      <left style="thin">
        <color indexed="8"/>
      </left>
      <right style="thin">
        <color indexed="8"/>
      </right>
      <top style="thin">
        <color indexed="8"/>
      </top>
      <bottom style="thin">
        <color indexed="8"/>
      </bottom>
      <diagonal/>
    </border>
    <border>
      <left style="medium">
        <color indexed="63"/>
      </left>
      <right/>
      <top style="medium">
        <color indexed="63"/>
      </top>
      <bottom style="medium">
        <color indexed="63"/>
      </bottom>
      <diagonal/>
    </border>
    <border>
      <left style="medium">
        <color indexed="63"/>
      </left>
      <right style="medium">
        <color indexed="63"/>
      </right>
      <top style="medium">
        <color indexed="63"/>
      </top>
      <bottom style="medium">
        <color indexed="63"/>
      </bottom>
      <diagonal/>
    </border>
    <border>
      <left/>
      <right style="medium">
        <color indexed="63"/>
      </right>
      <top style="medium">
        <color indexed="63"/>
      </top>
      <bottom style="medium">
        <color indexed="63"/>
      </bottom>
      <diagonal/>
    </border>
    <border>
      <left/>
      <right style="medium">
        <color indexed="63"/>
      </right>
      <top style="medium">
        <color indexed="63"/>
      </top>
      <bottom/>
      <diagonal/>
    </border>
    <border>
      <left style="thin">
        <color indexed="63"/>
      </left>
      <right/>
      <top/>
      <bottom style="thin">
        <color indexed="63"/>
      </bottom>
      <diagonal/>
    </border>
  </borders>
  <cellStyleXfs count="13">
    <xf numFmtId="0" fontId="0" fillId="0" borderId="0"/>
    <xf numFmtId="0" fontId="1" fillId="0" borderId="0">
      <alignment vertical="center"/>
    </xf>
    <xf numFmtId="0" fontId="1" fillId="0" borderId="0">
      <alignment vertical="center"/>
    </xf>
    <xf numFmtId="0" fontId="1" fillId="0" borderId="0">
      <alignment vertical="center"/>
    </xf>
    <xf numFmtId="0" fontId="15" fillId="0" borderId="0">
      <alignment vertical="center"/>
    </xf>
    <xf numFmtId="0" fontId="15" fillId="0" borderId="0">
      <alignment vertical="center"/>
    </xf>
    <xf numFmtId="0" fontId="19" fillId="0" borderId="0" applyNumberFormat="0" applyBorder="0" applyProtection="0">
      <alignment vertical="center"/>
    </xf>
    <xf numFmtId="0" fontId="10" fillId="0" borderId="0" applyNumberFormat="0" applyBorder="0" applyProtection="0">
      <alignment vertical="center"/>
    </xf>
    <xf numFmtId="0" fontId="23" fillId="0" borderId="0">
      <alignment vertical="center"/>
    </xf>
    <xf numFmtId="0" fontId="15" fillId="0" borderId="0">
      <alignment vertical="center"/>
    </xf>
    <xf numFmtId="0" fontId="1" fillId="0" borderId="0">
      <alignment vertical="center"/>
    </xf>
    <xf numFmtId="0" fontId="15" fillId="0" borderId="0">
      <alignment vertical="center"/>
    </xf>
    <xf numFmtId="0" fontId="15" fillId="0" borderId="0">
      <alignment vertical="center"/>
    </xf>
  </cellStyleXfs>
  <cellXfs count="592">
    <xf numFmtId="0" fontId="0" fillId="0" borderId="0" xfId="0"/>
    <xf numFmtId="0" fontId="2" fillId="2" borderId="1" xfId="0" applyFont="1" applyFill="1" applyBorder="1" applyAlignment="1" applyProtection="1">
      <alignment horizontal="center" vertical="center"/>
      <protection locked="0"/>
    </xf>
    <xf numFmtId="0" fontId="0" fillId="2" borderId="1" xfId="0" applyFill="1" applyBorder="1" applyAlignment="1" applyProtection="1">
      <alignment horizontal="left" vertical="top"/>
      <protection locked="0"/>
    </xf>
    <xf numFmtId="2" fontId="1" fillId="2" borderId="1" xfId="0" applyNumberFormat="1" applyFont="1" applyFill="1" applyBorder="1" applyAlignment="1" applyProtection="1">
      <alignment horizontal="left" vertical="top" wrapText="1"/>
      <protection locked="0"/>
    </xf>
    <xf numFmtId="0" fontId="0" fillId="2" borderId="1" xfId="0" applyFill="1" applyBorder="1" applyAlignment="1" applyProtection="1">
      <alignment vertical="top"/>
      <protection locked="0"/>
    </xf>
    <xf numFmtId="0" fontId="2" fillId="2" borderId="1" xfId="0" applyFont="1" applyFill="1" applyBorder="1" applyAlignment="1" applyProtection="1">
      <alignment horizontal="left" vertical="top"/>
      <protection locked="0"/>
    </xf>
    <xf numFmtId="0" fontId="2" fillId="2" borderId="1" xfId="0" applyFont="1" applyFill="1" applyBorder="1" applyAlignment="1" applyProtection="1">
      <alignment horizontal="center" vertical="top"/>
      <protection locked="0"/>
    </xf>
    <xf numFmtId="0" fontId="2" fillId="2" borderId="1" xfId="0" applyFont="1" applyFill="1" applyBorder="1" applyAlignment="1" applyProtection="1">
      <alignment horizontal="left" vertical="top" wrapText="1"/>
      <protection locked="0"/>
    </xf>
    <xf numFmtId="49" fontId="2" fillId="2" borderId="1" xfId="0" applyNumberFormat="1" applyFont="1" applyFill="1" applyBorder="1" applyAlignment="1">
      <alignment horizontal="left" vertical="top"/>
    </xf>
    <xf numFmtId="49" fontId="2" fillId="2" borderId="1" xfId="0" applyNumberFormat="1" applyFont="1"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 fillId="2" borderId="1" xfId="0" applyNumberFormat="1" applyFont="1" applyFill="1" applyBorder="1" applyAlignment="1" applyProtection="1">
      <alignment horizontal="left" vertical="top" wrapText="1"/>
      <protection locked="0"/>
    </xf>
    <xf numFmtId="0" fontId="0" fillId="2" borderId="1" xfId="0" applyFill="1" applyBorder="1" applyAlignment="1" applyProtection="1">
      <alignment horizontal="left" vertical="top" wrapText="1"/>
      <protection locked="0"/>
    </xf>
    <xf numFmtId="2" fontId="2" fillId="2" borderId="1" xfId="0" applyNumberFormat="1" applyFont="1" applyFill="1" applyBorder="1" applyAlignment="1" applyProtection="1">
      <alignment horizontal="center" vertical="top"/>
      <protection locked="0"/>
    </xf>
    <xf numFmtId="0" fontId="1" fillId="0" borderId="1" xfId="0" applyFont="1" applyBorder="1" applyAlignment="1" applyProtection="1">
      <alignment horizontal="left" vertical="top" wrapText="1"/>
      <protection locked="0"/>
    </xf>
    <xf numFmtId="0" fontId="1" fillId="2" borderId="1" xfId="0" applyFont="1" applyFill="1" applyBorder="1" applyAlignment="1" applyProtection="1">
      <alignment horizontal="left" vertical="top" wrapText="1"/>
      <protection locked="0"/>
    </xf>
    <xf numFmtId="49" fontId="1" fillId="2" borderId="1" xfId="0" applyNumberFormat="1" applyFont="1" applyFill="1" applyBorder="1" applyAlignment="1">
      <alignment horizontal="left" vertical="top"/>
    </xf>
    <xf numFmtId="0" fontId="1" fillId="2" borderId="1" xfId="0" applyFont="1" applyFill="1" applyBorder="1" applyAlignment="1" applyProtection="1">
      <alignment horizontal="left" vertical="top"/>
      <protection locked="0"/>
    </xf>
    <xf numFmtId="0" fontId="1" fillId="2" borderId="1" xfId="0" applyFont="1" applyFill="1" applyBorder="1" applyAlignment="1" applyProtection="1">
      <alignment vertical="top"/>
      <protection locked="0"/>
    </xf>
    <xf numFmtId="2" fontId="1" fillId="2" borderId="1" xfId="0" applyNumberFormat="1" applyFont="1" applyFill="1" applyBorder="1" applyAlignment="1">
      <alignment vertical="top"/>
    </xf>
    <xf numFmtId="49" fontId="3" fillId="2" borderId="1" xfId="0" applyNumberFormat="1" applyFont="1" applyFill="1" applyBorder="1" applyAlignment="1" applyProtection="1">
      <alignment vertical="top" wrapText="1"/>
      <protection locked="0"/>
    </xf>
    <xf numFmtId="0" fontId="4" fillId="0" borderId="1" xfId="0" applyFont="1" applyBorder="1"/>
    <xf numFmtId="0" fontId="3" fillId="2" borderId="1" xfId="0" applyFont="1" applyFill="1" applyBorder="1" applyAlignment="1" applyProtection="1">
      <alignment horizontal="left" vertical="top"/>
      <protection locked="0"/>
    </xf>
    <xf numFmtId="0" fontId="0" fillId="0" borderId="0" xfId="0" applyAlignment="1">
      <alignment horizontal="left" vertical="top"/>
    </xf>
    <xf numFmtId="0" fontId="0" fillId="0" borderId="0" xfId="0" applyAlignment="1">
      <alignment horizontal="left" vertical="top" wrapText="1"/>
    </xf>
    <xf numFmtId="0" fontId="0" fillId="0" borderId="0" xfId="0" applyAlignment="1" applyProtection="1">
      <alignment horizontal="left" vertical="top" wrapText="1"/>
      <protection locked="0"/>
    </xf>
    <xf numFmtId="0" fontId="5" fillId="0" borderId="0" xfId="0" applyFont="1" applyAlignment="1">
      <alignment horizontal="left" vertical="top" wrapText="1"/>
    </xf>
    <xf numFmtId="0" fontId="5" fillId="0" borderId="0" xfId="0" applyFont="1" applyAlignment="1">
      <alignment horizontal="left" vertical="top"/>
    </xf>
    <xf numFmtId="16" fontId="0" fillId="0" borderId="0" xfId="0" applyNumberFormat="1" applyAlignment="1">
      <alignment horizontal="left" vertical="top" wrapText="1"/>
    </xf>
    <xf numFmtId="0" fontId="6" fillId="0" borderId="0" xfId="0" applyFont="1" applyAlignment="1">
      <alignment horizontal="left" vertical="top"/>
    </xf>
    <xf numFmtId="0" fontId="0" fillId="0" borderId="2" xfId="0" applyBorder="1" applyAlignment="1" applyProtection="1">
      <alignment horizontal="left" vertical="top"/>
      <protection locked="0"/>
    </xf>
    <xf numFmtId="49" fontId="0" fillId="0" borderId="2" xfId="0" applyNumberFormat="1" applyBorder="1" applyAlignment="1" applyProtection="1">
      <alignment vertical="top"/>
      <protection locked="0"/>
    </xf>
    <xf numFmtId="2" fontId="1" fillId="0" borderId="2" xfId="0" applyNumberFormat="1" applyFont="1" applyBorder="1" applyAlignment="1" applyProtection="1">
      <alignment horizontal="left" vertical="top" wrapText="1"/>
      <protection locked="0"/>
    </xf>
    <xf numFmtId="0" fontId="0" fillId="0" borderId="2" xfId="0" applyBorder="1" applyAlignment="1" applyProtection="1">
      <alignment vertical="top"/>
      <protection locked="0"/>
    </xf>
    <xf numFmtId="0" fontId="2" fillId="0" borderId="2" xfId="0" applyFont="1" applyBorder="1" applyAlignment="1" applyProtection="1">
      <alignment horizontal="left" vertical="top"/>
      <protection locked="0"/>
    </xf>
    <xf numFmtId="0" fontId="2" fillId="0" borderId="2" xfId="0" applyFont="1" applyBorder="1" applyAlignment="1" applyProtection="1">
      <alignment horizontal="center" vertical="top"/>
      <protection locked="0"/>
    </xf>
    <xf numFmtId="2" fontId="2" fillId="0" borderId="2" xfId="0" applyNumberFormat="1" applyFont="1" applyBorder="1" applyAlignment="1" applyProtection="1">
      <alignment horizontal="left" vertical="top"/>
      <protection locked="0"/>
    </xf>
    <xf numFmtId="0" fontId="2" fillId="0" borderId="2" xfId="0" applyFont="1" applyBorder="1" applyAlignment="1" applyProtection="1">
      <alignment horizontal="left" vertical="top" wrapText="1"/>
      <protection locked="0"/>
    </xf>
    <xf numFmtId="49" fontId="2" fillId="0" borderId="2" xfId="0" applyNumberFormat="1" applyFont="1" applyBorder="1" applyAlignment="1">
      <alignment horizontal="left" vertical="top"/>
    </xf>
    <xf numFmtId="2" fontId="2" fillId="0" borderId="2" xfId="0" applyNumberFormat="1" applyFont="1"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49" fontId="1" fillId="0" borderId="2" xfId="0" applyNumberFormat="1" applyFont="1" applyBorder="1" applyAlignment="1" applyProtection="1">
      <alignment horizontal="left" vertical="top" wrapText="1"/>
      <protection locked="0"/>
    </xf>
    <xf numFmtId="0" fontId="0" fillId="0" borderId="2" xfId="0" applyBorder="1" applyAlignment="1">
      <alignment horizontal="left" vertical="top"/>
    </xf>
    <xf numFmtId="2" fontId="0" fillId="0" borderId="2" xfId="0" applyNumberFormat="1" applyBorder="1" applyAlignment="1">
      <alignment horizontal="left" vertical="top"/>
    </xf>
    <xf numFmtId="0" fontId="0" fillId="0" borderId="2" xfId="0" applyBorder="1" applyAlignment="1">
      <alignment vertical="top"/>
    </xf>
    <xf numFmtId="49" fontId="0" fillId="0" borderId="2" xfId="0" applyNumberFormat="1" applyBorder="1" applyAlignment="1">
      <alignment vertical="top"/>
    </xf>
    <xf numFmtId="2" fontId="0" fillId="0" borderId="2" xfId="0" applyNumberFormat="1" applyBorder="1" applyAlignment="1">
      <alignment vertical="top" wrapText="1"/>
    </xf>
    <xf numFmtId="49" fontId="0" fillId="0" borderId="2" xfId="0" applyNumberFormat="1" applyBorder="1" applyAlignment="1">
      <alignment horizontal="center" vertical="top" wrapText="1"/>
    </xf>
    <xf numFmtId="0" fontId="0" fillId="0" borderId="2" xfId="0" applyBorder="1" applyAlignment="1" applyProtection="1">
      <alignment horizontal="center" vertical="top" wrapText="1"/>
      <protection locked="0"/>
    </xf>
    <xf numFmtId="2" fontId="7" fillId="0" borderId="2" xfId="9" applyNumberFormat="1"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vertical="top" wrapText="1"/>
    </xf>
    <xf numFmtId="2" fontId="0" fillId="0" borderId="2" xfId="0" applyNumberFormat="1" applyBorder="1" applyAlignment="1">
      <alignment horizontal="left" vertical="top" wrapText="1"/>
    </xf>
    <xf numFmtId="0" fontId="5" fillId="0" borderId="2" xfId="0" applyFont="1" applyBorder="1" applyAlignment="1" applyProtection="1">
      <alignment horizontal="left" vertical="top"/>
      <protection locked="0"/>
    </xf>
    <xf numFmtId="49" fontId="0" fillId="0" borderId="2" xfId="0" applyNumberFormat="1" applyBorder="1" applyAlignment="1" applyProtection="1">
      <alignment horizontal="left" vertical="top"/>
      <protection locked="0"/>
    </xf>
    <xf numFmtId="0" fontId="1" fillId="0" borderId="2" xfId="0" applyFont="1" applyBorder="1" applyAlignment="1" applyProtection="1">
      <alignment horizontal="left" vertical="top" wrapText="1"/>
      <protection locked="0"/>
    </xf>
    <xf numFmtId="2" fontId="1" fillId="2" borderId="2" xfId="0" applyNumberFormat="1" applyFont="1" applyFill="1" applyBorder="1" applyAlignment="1">
      <alignment vertical="top"/>
    </xf>
    <xf numFmtId="49" fontId="0" fillId="0" borderId="2" xfId="0" applyNumberFormat="1" applyBorder="1" applyAlignment="1">
      <alignment horizontal="left" vertical="top"/>
    </xf>
    <xf numFmtId="49" fontId="0" fillId="0" borderId="2" xfId="0" applyNumberFormat="1" applyBorder="1" applyAlignment="1">
      <alignment horizontal="left" vertical="top" wrapText="1"/>
    </xf>
    <xf numFmtId="2" fontId="7" fillId="0" borderId="1" xfId="9" applyNumberFormat="1" applyFont="1" applyBorder="1" applyAlignment="1">
      <alignment horizontal="left" vertical="top" wrapText="1"/>
    </xf>
    <xf numFmtId="0" fontId="0" fillId="0" borderId="2" xfId="0" applyBorder="1" applyAlignment="1">
      <alignment horizontal="left" vertical="top" wrapText="1"/>
    </xf>
    <xf numFmtId="49" fontId="2" fillId="0" borderId="2" xfId="0" applyNumberFormat="1" applyFont="1" applyBorder="1" applyAlignment="1" applyProtection="1">
      <alignment horizontal="left" vertical="top"/>
      <protection locked="0"/>
    </xf>
    <xf numFmtId="49" fontId="1" fillId="0" borderId="2" xfId="0" applyNumberFormat="1" applyFont="1" applyBorder="1" applyAlignment="1" applyProtection="1">
      <alignment horizontal="center" vertical="top" wrapText="1"/>
      <protection locked="0"/>
    </xf>
    <xf numFmtId="49" fontId="2" fillId="0" borderId="2" xfId="0" applyNumberFormat="1" applyFont="1" applyBorder="1" applyAlignment="1" applyProtection="1">
      <alignment horizontal="left" vertical="top" wrapText="1"/>
      <protection locked="0"/>
    </xf>
    <xf numFmtId="49" fontId="0" fillId="0" borderId="2" xfId="0" applyNumberFormat="1" applyBorder="1" applyAlignment="1" applyProtection="1">
      <alignment vertical="top" wrapText="1"/>
      <protection locked="0"/>
    </xf>
    <xf numFmtId="0" fontId="0" fillId="0" borderId="2" xfId="0" applyBorder="1" applyAlignment="1" applyProtection="1">
      <alignment vertical="top" wrapText="1"/>
      <protection locked="0"/>
    </xf>
    <xf numFmtId="0" fontId="8" fillId="0" borderId="2" xfId="0" applyFont="1" applyBorder="1" applyAlignment="1">
      <alignment vertical="top" wrapText="1"/>
    </xf>
    <xf numFmtId="0" fontId="0" fillId="2" borderId="2" xfId="0" applyFill="1" applyBorder="1" applyAlignment="1" applyProtection="1">
      <alignment horizontal="left" vertical="top"/>
      <protection locked="0"/>
    </xf>
    <xf numFmtId="2" fontId="1" fillId="2" borderId="2" xfId="0" applyNumberFormat="1" applyFont="1" applyFill="1" applyBorder="1" applyAlignment="1" applyProtection="1">
      <alignment horizontal="left" vertical="top" wrapText="1"/>
      <protection locked="0"/>
    </xf>
    <xf numFmtId="0" fontId="0" fillId="2" borderId="2" xfId="0" applyFill="1" applyBorder="1" applyAlignment="1" applyProtection="1">
      <alignment vertical="top"/>
      <protection locked="0"/>
    </xf>
    <xf numFmtId="0" fontId="2" fillId="2" borderId="2" xfId="0" applyFont="1" applyFill="1" applyBorder="1" applyAlignment="1" applyProtection="1">
      <alignment horizontal="left" vertical="top"/>
      <protection locked="0"/>
    </xf>
    <xf numFmtId="0" fontId="2" fillId="2" borderId="2" xfId="0" applyFont="1" applyFill="1" applyBorder="1" applyAlignment="1" applyProtection="1">
      <alignment horizontal="center" vertical="top"/>
      <protection locked="0"/>
    </xf>
    <xf numFmtId="0" fontId="2" fillId="2" borderId="2" xfId="0" applyFont="1" applyFill="1" applyBorder="1" applyAlignment="1" applyProtection="1">
      <alignment horizontal="left" vertical="top" wrapText="1"/>
      <protection locked="0"/>
    </xf>
    <xf numFmtId="49" fontId="2" fillId="2" borderId="2" xfId="0" applyNumberFormat="1" applyFont="1" applyFill="1" applyBorder="1" applyAlignment="1">
      <alignment horizontal="left" vertical="top"/>
    </xf>
    <xf numFmtId="49" fontId="2" fillId="2" borderId="2" xfId="0" applyNumberFormat="1" applyFont="1" applyFill="1" applyBorder="1" applyAlignment="1" applyProtection="1">
      <alignment horizontal="left" vertical="top" wrapText="1"/>
      <protection locked="0"/>
    </xf>
    <xf numFmtId="49" fontId="1" fillId="2" borderId="2" xfId="0" applyNumberFormat="1" applyFont="1" applyFill="1" applyBorder="1" applyAlignment="1" applyProtection="1">
      <alignment horizontal="left" vertical="top" wrapText="1"/>
      <protection locked="0"/>
    </xf>
    <xf numFmtId="0" fontId="0" fillId="2" borderId="2" xfId="0" applyFill="1" applyBorder="1" applyAlignment="1" applyProtection="1">
      <alignment horizontal="left" vertical="top" wrapText="1"/>
      <protection locked="0"/>
    </xf>
    <xf numFmtId="2" fontId="2" fillId="2" borderId="2" xfId="0" applyNumberFormat="1" applyFont="1" applyFill="1" applyBorder="1" applyAlignment="1" applyProtection="1">
      <alignment horizontal="center" vertical="top"/>
      <protection locked="0"/>
    </xf>
    <xf numFmtId="0" fontId="1" fillId="2" borderId="2" xfId="0" applyFont="1" applyFill="1" applyBorder="1" applyAlignment="1" applyProtection="1">
      <alignment horizontal="left" vertical="top" wrapText="1"/>
      <protection locked="0"/>
    </xf>
    <xf numFmtId="49" fontId="1" fillId="2" borderId="2" xfId="0" applyNumberFormat="1" applyFont="1" applyFill="1" applyBorder="1" applyAlignment="1">
      <alignment horizontal="left" vertical="top"/>
    </xf>
    <xf numFmtId="0" fontId="1" fillId="2" borderId="2" xfId="0" applyFont="1" applyFill="1" applyBorder="1" applyAlignment="1" applyProtection="1">
      <alignment horizontal="left" vertical="top"/>
      <protection locked="0"/>
    </xf>
    <xf numFmtId="0" fontId="1" fillId="2" borderId="2" xfId="0" applyFont="1" applyFill="1" applyBorder="1" applyAlignment="1" applyProtection="1">
      <alignment vertical="top"/>
      <protection locked="0"/>
    </xf>
    <xf numFmtId="49" fontId="3" fillId="2" borderId="2" xfId="0" applyNumberFormat="1" applyFont="1" applyFill="1" applyBorder="1" applyAlignment="1" applyProtection="1">
      <alignment vertical="top" wrapText="1"/>
      <protection locked="0"/>
    </xf>
    <xf numFmtId="0" fontId="4" fillId="0" borderId="2" xfId="0" applyFont="1" applyBorder="1" applyAlignment="1">
      <alignment vertical="top"/>
    </xf>
    <xf numFmtId="2" fontId="1" fillId="2" borderId="2" xfId="3" applyNumberFormat="1" applyFill="1" applyBorder="1" applyAlignment="1">
      <alignment horizontal="left" vertical="top" wrapText="1"/>
    </xf>
    <xf numFmtId="0" fontId="1" fillId="0" borderId="2" xfId="0" applyFont="1" applyBorder="1"/>
    <xf numFmtId="0" fontId="3" fillId="2" borderId="2" xfId="0" applyFont="1" applyFill="1" applyBorder="1" applyAlignment="1" applyProtection="1">
      <alignment horizontal="left" vertical="top"/>
      <protection locked="0"/>
    </xf>
    <xf numFmtId="0" fontId="1" fillId="2" borderId="2" xfId="0" applyFont="1" applyFill="1" applyBorder="1" applyAlignment="1">
      <alignment horizontal="left" vertical="top"/>
    </xf>
    <xf numFmtId="0" fontId="1" fillId="0" borderId="2" xfId="0" applyFont="1" applyBorder="1" applyAlignment="1">
      <alignment horizontal="left" vertical="top"/>
    </xf>
    <xf numFmtId="2" fontId="1" fillId="2" borderId="8" xfId="0" applyNumberFormat="1" applyFont="1" applyFill="1" applyBorder="1" applyAlignment="1" applyProtection="1">
      <alignment horizontal="left" vertical="top" wrapText="1"/>
      <protection locked="0"/>
    </xf>
    <xf numFmtId="0" fontId="1" fillId="2" borderId="2" xfId="0" applyFont="1" applyFill="1" applyBorder="1" applyAlignment="1">
      <alignment vertical="top"/>
    </xf>
    <xf numFmtId="2" fontId="1" fillId="2" borderId="2" xfId="3" applyNumberFormat="1" applyFill="1" applyBorder="1" applyAlignment="1">
      <alignment horizontal="left" vertical="top"/>
    </xf>
    <xf numFmtId="2" fontId="1" fillId="0" borderId="2" xfId="3" applyNumberFormat="1" applyBorder="1" applyAlignment="1">
      <alignment horizontal="left" vertical="top" wrapText="1"/>
    </xf>
    <xf numFmtId="2" fontId="7" fillId="2" borderId="2" xfId="9" applyNumberFormat="1" applyFont="1" applyFill="1" applyBorder="1" applyAlignment="1">
      <alignment vertical="top" wrapText="1"/>
    </xf>
    <xf numFmtId="2" fontId="1" fillId="2" borderId="2" xfId="2" applyNumberFormat="1" applyFill="1" applyBorder="1" applyAlignment="1">
      <alignment horizontal="left" vertical="top" wrapText="1"/>
    </xf>
    <xf numFmtId="0" fontId="1" fillId="0" borderId="2" xfId="0" applyFont="1" applyBorder="1" applyAlignment="1">
      <alignment vertical="top"/>
    </xf>
    <xf numFmtId="2" fontId="1" fillId="2" borderId="2" xfId="1" applyNumberFormat="1" applyFill="1" applyBorder="1" applyAlignment="1">
      <alignment horizontal="left" vertical="top" wrapText="1"/>
    </xf>
    <xf numFmtId="0" fontId="3" fillId="2" borderId="2" xfId="0" applyFont="1" applyFill="1" applyBorder="1" applyAlignment="1" applyProtection="1">
      <alignment horizontal="left" vertical="top" wrapText="1"/>
      <protection locked="0"/>
    </xf>
    <xf numFmtId="2" fontId="3" fillId="2" borderId="2" xfId="0" applyNumberFormat="1" applyFont="1" applyFill="1" applyBorder="1" applyAlignment="1" applyProtection="1">
      <alignment horizontal="left" vertical="top" wrapText="1"/>
      <protection locked="0"/>
    </xf>
    <xf numFmtId="0" fontId="3" fillId="2" borderId="2" xfId="0" applyFont="1" applyFill="1" applyBorder="1" applyAlignment="1" applyProtection="1">
      <alignment vertical="top"/>
      <protection locked="0"/>
    </xf>
    <xf numFmtId="2" fontId="7" fillId="2" borderId="2" xfId="4" applyNumberFormat="1" applyFont="1" applyFill="1" applyBorder="1" applyAlignment="1">
      <alignment horizontal="left" vertical="top" wrapText="1"/>
    </xf>
    <xf numFmtId="0" fontId="0" fillId="0" borderId="5" xfId="7" applyFont="1" applyBorder="1">
      <alignment vertical="center"/>
    </xf>
    <xf numFmtId="0" fontId="0" fillId="0" borderId="9" xfId="7" applyFont="1" applyBorder="1">
      <alignment vertical="center"/>
    </xf>
    <xf numFmtId="0" fontId="0" fillId="0" borderId="2" xfId="7" applyFont="1" applyBorder="1">
      <alignment vertical="center"/>
    </xf>
    <xf numFmtId="0" fontId="0" fillId="0" borderId="6" xfId="7" applyFont="1" applyBorder="1">
      <alignment vertical="center"/>
    </xf>
    <xf numFmtId="0" fontId="0" fillId="0" borderId="10" xfId="7" applyFont="1" applyBorder="1">
      <alignment vertical="center"/>
    </xf>
    <xf numFmtId="2" fontId="7" fillId="2" borderId="2" xfId="4" applyNumberFormat="1" applyFont="1" applyFill="1" applyBorder="1" applyAlignment="1">
      <alignment vertical="top" wrapText="1"/>
    </xf>
    <xf numFmtId="0" fontId="0" fillId="0" borderId="10" xfId="0" applyBorder="1" applyAlignment="1">
      <alignment vertical="center"/>
    </xf>
    <xf numFmtId="0" fontId="0" fillId="0" borderId="5" xfId="0" applyBorder="1" applyAlignment="1">
      <alignment vertical="center"/>
    </xf>
    <xf numFmtId="0" fontId="0" fillId="0" borderId="2" xfId="0" applyBorder="1" applyAlignment="1">
      <alignment horizontal="left" vertical="center"/>
    </xf>
    <xf numFmtId="0" fontId="0" fillId="0" borderId="2" xfId="0" applyBorder="1"/>
    <xf numFmtId="0" fontId="3" fillId="0" borderId="2" xfId="0" applyFont="1" applyBorder="1" applyAlignment="1">
      <alignment horizontal="left" vertical="top"/>
    </xf>
    <xf numFmtId="0" fontId="23" fillId="0" borderId="2" xfId="8" applyBorder="1" applyAlignment="1">
      <alignment vertical="center" wrapText="1"/>
    </xf>
    <xf numFmtId="2" fontId="1" fillId="2" borderId="2" xfId="0" applyNumberFormat="1" applyFont="1" applyFill="1" applyBorder="1" applyAlignment="1">
      <alignment vertical="top" wrapText="1"/>
    </xf>
    <xf numFmtId="2" fontId="7" fillId="2" borderId="2" xfId="5" applyNumberFormat="1" applyFont="1" applyFill="1" applyBorder="1" applyAlignment="1">
      <alignment horizontal="left" vertical="top" wrapText="1"/>
    </xf>
    <xf numFmtId="2" fontId="1" fillId="0" borderId="2" xfId="0" applyNumberFormat="1" applyFont="1" applyBorder="1" applyAlignment="1">
      <alignment horizontal="left" vertical="top" wrapText="1"/>
    </xf>
    <xf numFmtId="2" fontId="1" fillId="0" borderId="2" xfId="0" applyNumberFormat="1" applyFont="1" applyBorder="1" applyAlignment="1">
      <alignment vertical="top" wrapText="1"/>
    </xf>
    <xf numFmtId="2" fontId="1" fillId="2" borderId="2" xfId="0" applyNumberFormat="1" applyFont="1" applyFill="1" applyBorder="1" applyAlignment="1" applyProtection="1">
      <alignment horizontal="left" vertical="top"/>
      <protection locked="0"/>
    </xf>
    <xf numFmtId="2" fontId="1" fillId="2" borderId="6" xfId="0" applyNumberFormat="1" applyFont="1" applyFill="1" applyBorder="1" applyAlignment="1" applyProtection="1">
      <alignment vertical="top" wrapText="1"/>
      <protection locked="0"/>
    </xf>
    <xf numFmtId="0" fontId="1" fillId="0" borderId="6" xfId="0" applyFont="1" applyBorder="1" applyAlignment="1">
      <alignment vertical="top" wrapText="1"/>
    </xf>
    <xf numFmtId="0" fontId="1" fillId="0" borderId="2" xfId="0" applyFont="1" applyBorder="1" applyAlignment="1">
      <alignment horizontal="left" vertical="top" wrapText="1"/>
    </xf>
    <xf numFmtId="0" fontId="1" fillId="0" borderId="2" xfId="0" applyFont="1" applyBorder="1" applyAlignment="1" applyProtection="1">
      <alignment horizontal="left" vertical="top"/>
      <protection locked="0"/>
    </xf>
    <xf numFmtId="2" fontId="0" fillId="2" borderId="2" xfId="0" applyNumberFormat="1" applyFill="1" applyBorder="1" applyAlignment="1">
      <alignment vertical="top"/>
    </xf>
    <xf numFmtId="0" fontId="5" fillId="2" borderId="2" xfId="0" applyFont="1" applyFill="1" applyBorder="1" applyAlignment="1" applyProtection="1">
      <alignment horizontal="left" vertical="top" wrapText="1"/>
      <protection locked="0"/>
    </xf>
    <xf numFmtId="49" fontId="5" fillId="2" borderId="2" xfId="0" applyNumberFormat="1" applyFont="1" applyFill="1" applyBorder="1" applyAlignment="1" applyProtection="1">
      <alignment vertical="top" wrapText="1"/>
      <protection locked="0"/>
    </xf>
    <xf numFmtId="0" fontId="5" fillId="2" borderId="2" xfId="0" applyFont="1" applyFill="1" applyBorder="1" applyAlignment="1" applyProtection="1">
      <alignment vertical="top"/>
      <protection locked="0"/>
    </xf>
    <xf numFmtId="2" fontId="7" fillId="2" borderId="2" xfId="9" applyNumberFormat="1" applyFont="1" applyFill="1" applyBorder="1" applyAlignment="1">
      <alignment horizontal="left" vertical="top" wrapText="1"/>
    </xf>
    <xf numFmtId="2" fontId="7" fillId="3" borderId="1" xfId="9" applyNumberFormat="1" applyFont="1" applyFill="1" applyBorder="1" applyAlignment="1">
      <alignment horizontal="left" vertical="top" wrapText="1"/>
    </xf>
    <xf numFmtId="2" fontId="1" fillId="3" borderId="2" xfId="3" applyNumberFormat="1" applyFill="1" applyBorder="1" applyAlignment="1">
      <alignment horizontal="left" vertical="top" wrapText="1"/>
    </xf>
    <xf numFmtId="2" fontId="1" fillId="3" borderId="2" xfId="0" applyNumberFormat="1" applyFont="1" applyFill="1" applyBorder="1" applyAlignment="1" applyProtection="1">
      <alignment horizontal="left" vertical="top" wrapText="1"/>
      <protection locked="0"/>
    </xf>
    <xf numFmtId="0" fontId="5" fillId="2" borderId="2" xfId="0" applyFont="1" applyFill="1" applyBorder="1" applyAlignment="1" applyProtection="1">
      <alignment horizontal="left" vertical="top"/>
      <protection locked="0"/>
    </xf>
    <xf numFmtId="0" fontId="0" fillId="2" borderId="2" xfId="0" applyFill="1" applyBorder="1" applyAlignment="1">
      <alignment horizontal="left" vertical="top"/>
    </xf>
    <xf numFmtId="0" fontId="0" fillId="3" borderId="2" xfId="0" applyFill="1" applyBorder="1" applyAlignment="1">
      <alignment horizontal="left" vertical="top"/>
    </xf>
    <xf numFmtId="0" fontId="0" fillId="2" borderId="2" xfId="0" applyFill="1" applyBorder="1" applyAlignment="1">
      <alignment vertical="top"/>
    </xf>
    <xf numFmtId="2" fontId="0" fillId="2" borderId="2" xfId="0" applyNumberFormat="1" applyFill="1" applyBorder="1" applyAlignment="1">
      <alignment vertical="top" wrapText="1"/>
    </xf>
    <xf numFmtId="2" fontId="0" fillId="2" borderId="2" xfId="0" applyNumberFormat="1" applyFill="1" applyBorder="1" applyAlignment="1" applyProtection="1">
      <alignment horizontal="left" vertical="top"/>
      <protection locked="0"/>
    </xf>
    <xf numFmtId="0" fontId="0" fillId="3" borderId="2" xfId="0" applyFill="1" applyBorder="1" applyAlignment="1" applyProtection="1">
      <alignment horizontal="left" vertical="top" wrapText="1"/>
      <protection locked="0"/>
    </xf>
    <xf numFmtId="0" fontId="0" fillId="0" borderId="6" xfId="0" applyBorder="1" applyAlignment="1">
      <alignment vertical="top" wrapText="1"/>
    </xf>
    <xf numFmtId="2" fontId="1" fillId="0" borderId="2" xfId="0" applyNumberFormat="1" applyFont="1" applyBorder="1" applyAlignment="1" applyProtection="1">
      <alignment horizontal="center" vertical="top" wrapText="1"/>
      <protection locked="0"/>
    </xf>
    <xf numFmtId="49" fontId="5" fillId="0" borderId="2" xfId="0" applyNumberFormat="1" applyFont="1" applyBorder="1" applyAlignment="1" applyProtection="1">
      <alignment vertical="top" wrapText="1"/>
      <protection locked="0"/>
    </xf>
    <xf numFmtId="2" fontId="3" fillId="0" borderId="2" xfId="0" applyNumberFormat="1" applyFont="1" applyBorder="1" applyAlignment="1" applyProtection="1">
      <alignment horizontal="left" vertical="top" wrapText="1"/>
      <protection locked="0"/>
    </xf>
    <xf numFmtId="0" fontId="5" fillId="0" borderId="2" xfId="0" applyFont="1" applyBorder="1" applyAlignment="1" applyProtection="1">
      <alignment vertical="top"/>
      <protection locked="0"/>
    </xf>
    <xf numFmtId="2" fontId="7" fillId="0" borderId="2" xfId="5" applyNumberFormat="1" applyFont="1" applyBorder="1" applyAlignment="1">
      <alignment horizontal="left" vertical="top" wrapText="1"/>
    </xf>
    <xf numFmtId="0" fontId="5" fillId="0" borderId="2" xfId="0" applyFont="1" applyBorder="1" applyAlignment="1" applyProtection="1">
      <alignment horizontal="left" vertical="top" wrapText="1"/>
      <protection locked="0"/>
    </xf>
    <xf numFmtId="0" fontId="0" fillId="0" borderId="1" xfId="0" applyBorder="1" applyAlignment="1" applyProtection="1">
      <alignment horizontal="left" vertical="top"/>
      <protection locked="0"/>
    </xf>
    <xf numFmtId="2" fontId="1" fillId="0" borderId="1" xfId="0" applyNumberFormat="1" applyFont="1" applyBorder="1" applyAlignment="1" applyProtection="1">
      <alignment horizontal="left" vertical="top" wrapText="1"/>
      <protection locked="0"/>
    </xf>
    <xf numFmtId="0" fontId="0" fillId="0" borderId="1" xfId="0" applyBorder="1" applyAlignment="1" applyProtection="1">
      <alignment vertical="top"/>
      <protection locked="0"/>
    </xf>
    <xf numFmtId="0" fontId="2" fillId="0" borderId="0" xfId="0" applyFont="1" applyAlignment="1" applyProtection="1">
      <alignment horizontal="left" vertical="top"/>
      <protection locked="0"/>
    </xf>
    <xf numFmtId="0" fontId="0" fillId="0" borderId="0" xfId="0" applyAlignment="1" applyProtection="1">
      <alignment horizontal="left" vertical="top"/>
      <protection locked="0"/>
    </xf>
    <xf numFmtId="2" fontId="1" fillId="0" borderId="0" xfId="0" applyNumberFormat="1" applyFont="1" applyAlignment="1" applyProtection="1">
      <alignment horizontal="left" vertical="top" wrapText="1"/>
      <protection locked="0"/>
    </xf>
    <xf numFmtId="0" fontId="0" fillId="0" borderId="0" xfId="0" applyAlignment="1" applyProtection="1">
      <alignment vertical="top"/>
      <protection locked="0"/>
    </xf>
    <xf numFmtId="0" fontId="2" fillId="0" borderId="1" xfId="0" applyFont="1" applyBorder="1" applyAlignment="1" applyProtection="1">
      <alignment horizontal="center" vertical="top"/>
      <protection locked="0"/>
    </xf>
    <xf numFmtId="0" fontId="2" fillId="0" borderId="1" xfId="0" applyFont="1" applyBorder="1" applyAlignment="1" applyProtection="1">
      <alignment horizontal="left" vertical="top" wrapText="1"/>
      <protection locked="0"/>
    </xf>
    <xf numFmtId="49" fontId="2" fillId="0" borderId="1" xfId="0" applyNumberFormat="1" applyFont="1" applyBorder="1" applyAlignment="1">
      <alignment horizontal="left" vertical="top"/>
    </xf>
    <xf numFmtId="49" fontId="2" fillId="0" borderId="1" xfId="0" applyNumberFormat="1" applyFont="1" applyBorder="1" applyAlignment="1" applyProtection="1">
      <alignment horizontal="left" vertical="top" wrapText="1"/>
      <protection locked="0"/>
    </xf>
    <xf numFmtId="0" fontId="2" fillId="0" borderId="1" xfId="0" applyFont="1" applyBorder="1" applyAlignment="1" applyProtection="1">
      <alignment horizontal="left" vertical="top"/>
      <protection locked="0"/>
    </xf>
    <xf numFmtId="49" fontId="1" fillId="0" borderId="1" xfId="0" applyNumberFormat="1" applyFont="1" applyBorder="1" applyAlignment="1" applyProtection="1">
      <alignment horizontal="left" vertical="top" wrapText="1"/>
      <protection locked="0"/>
    </xf>
    <xf numFmtId="0" fontId="5" fillId="0" borderId="1" xfId="0" applyFont="1" applyBorder="1" applyAlignment="1" applyProtection="1">
      <alignment horizontal="left" vertical="top"/>
      <protection locked="0"/>
    </xf>
    <xf numFmtId="0" fontId="2" fillId="0" borderId="0" xfId="0" applyFont="1" applyAlignment="1" applyProtection="1">
      <alignment horizontal="center" vertical="top"/>
      <protection locked="0"/>
    </xf>
    <xf numFmtId="2" fontId="1" fillId="0" borderId="0" xfId="0" applyNumberFormat="1" applyFont="1" applyAlignment="1" applyProtection="1">
      <alignment horizontal="center" vertical="top" wrapText="1"/>
      <protection locked="0"/>
    </xf>
    <xf numFmtId="0" fontId="5" fillId="0" borderId="1" xfId="0" applyFont="1" applyBorder="1" applyAlignment="1" applyProtection="1">
      <alignment vertical="top"/>
      <protection locked="0"/>
    </xf>
    <xf numFmtId="0" fontId="0" fillId="0" borderId="1" xfId="0" applyBorder="1" applyAlignment="1">
      <alignment horizontal="left"/>
    </xf>
    <xf numFmtId="0" fontId="0" fillId="0" borderId="1" xfId="0" applyBorder="1"/>
    <xf numFmtId="0" fontId="0" fillId="0" borderId="1" xfId="0" applyBorder="1" applyAlignment="1">
      <alignment wrapText="1"/>
    </xf>
    <xf numFmtId="0" fontId="9" fillId="0" borderId="1" xfId="0" applyFont="1" applyBorder="1" applyAlignment="1" applyProtection="1">
      <alignment horizontal="center" vertical="top"/>
      <protection locked="0"/>
    </xf>
    <xf numFmtId="0" fontId="9" fillId="0" borderId="1" xfId="0" applyFont="1" applyBorder="1" applyAlignment="1" applyProtection="1">
      <alignment horizontal="left" vertical="top"/>
      <protection locked="0"/>
    </xf>
    <xf numFmtId="0" fontId="2" fillId="0" borderId="1" xfId="0" applyFont="1" applyBorder="1" applyAlignment="1">
      <alignment vertical="top"/>
    </xf>
    <xf numFmtId="49" fontId="2" fillId="0" borderId="1" xfId="0" applyNumberFormat="1" applyFont="1" applyBorder="1" applyAlignment="1" applyProtection="1">
      <alignment horizontal="left" vertical="top"/>
      <protection locked="0"/>
    </xf>
    <xf numFmtId="2" fontId="2" fillId="0" borderId="1" xfId="0" applyNumberFormat="1" applyFont="1" applyBorder="1" applyAlignment="1" applyProtection="1">
      <alignment horizontal="left" vertical="top" wrapText="1"/>
      <protection locked="0"/>
    </xf>
    <xf numFmtId="0" fontId="2" fillId="0" borderId="1" xfId="0" applyFont="1" applyBorder="1" applyAlignment="1" applyProtection="1">
      <alignment vertical="top"/>
      <protection locked="0"/>
    </xf>
    <xf numFmtId="0" fontId="2" fillId="0" borderId="11" xfId="0" applyFont="1" applyBorder="1" applyAlignment="1" applyProtection="1">
      <alignment horizontal="left" vertical="top"/>
      <protection locked="0"/>
    </xf>
    <xf numFmtId="0" fontId="2" fillId="0" borderId="12" xfId="0" applyFont="1" applyBorder="1" applyAlignment="1" applyProtection="1">
      <alignment horizontal="left" vertical="top"/>
      <protection locked="0"/>
    </xf>
    <xf numFmtId="49" fontId="2" fillId="0" borderId="12" xfId="0" applyNumberFormat="1" applyFont="1" applyBorder="1" applyAlignment="1" applyProtection="1">
      <alignment horizontal="left" vertical="top"/>
      <protection locked="0"/>
    </xf>
    <xf numFmtId="2" fontId="2" fillId="0" borderId="12" xfId="0" applyNumberFormat="1" applyFont="1" applyBorder="1" applyAlignment="1" applyProtection="1">
      <alignment horizontal="left" vertical="top" wrapText="1"/>
      <protection locked="0"/>
    </xf>
    <xf numFmtId="0" fontId="2" fillId="0" borderId="13" xfId="0" applyFont="1" applyBorder="1" applyAlignment="1" applyProtection="1">
      <alignment vertical="top"/>
      <protection locked="0"/>
    </xf>
    <xf numFmtId="2" fontId="2" fillId="0" borderId="1" xfId="0" applyNumberFormat="1" applyFont="1" applyBorder="1" applyAlignment="1" applyProtection="1">
      <alignment horizontal="left" vertical="top"/>
      <protection locked="0"/>
    </xf>
    <xf numFmtId="0" fontId="9" fillId="0" borderId="1" xfId="0" applyFont="1" applyBorder="1" applyAlignment="1" applyProtection="1">
      <alignment horizontal="left" vertical="top" wrapText="1"/>
      <protection locked="0"/>
    </xf>
    <xf numFmtId="49" fontId="9" fillId="0" borderId="1" xfId="0" applyNumberFormat="1" applyFont="1" applyBorder="1" applyAlignment="1">
      <alignment horizontal="left" vertical="top"/>
    </xf>
    <xf numFmtId="2" fontId="9" fillId="0" borderId="1" xfId="0" applyNumberFormat="1" applyFont="1" applyBorder="1" applyAlignment="1" applyProtection="1">
      <alignment horizontal="left" vertical="top" wrapText="1"/>
      <protection locked="0"/>
    </xf>
    <xf numFmtId="2" fontId="2" fillId="0" borderId="1" xfId="0" applyNumberFormat="1" applyFont="1" applyBorder="1" applyAlignment="1">
      <alignment vertical="top" wrapText="1"/>
    </xf>
    <xf numFmtId="0" fontId="2" fillId="0" borderId="1" xfId="0" applyFont="1" applyBorder="1" applyAlignment="1">
      <alignment horizontal="left" vertical="top"/>
    </xf>
    <xf numFmtId="0" fontId="9" fillId="0" borderId="11" xfId="0" applyFont="1" applyBorder="1" applyAlignment="1" applyProtection="1">
      <alignment horizontal="center" vertical="top"/>
      <protection locked="0"/>
    </xf>
    <xf numFmtId="0" fontId="9" fillId="0" borderId="12" xfId="0" applyFont="1" applyBorder="1" applyAlignment="1" applyProtection="1">
      <alignment horizontal="center" vertical="top"/>
      <protection locked="0"/>
    </xf>
    <xf numFmtId="0" fontId="9" fillId="0" borderId="13" xfId="0" applyFont="1" applyBorder="1" applyAlignment="1" applyProtection="1">
      <alignment horizontal="center" vertical="top"/>
      <protection locked="0"/>
    </xf>
    <xf numFmtId="0" fontId="2" fillId="0" borderId="1" xfId="0" applyFont="1" applyBorder="1" applyAlignment="1">
      <alignment vertical="top" wrapText="1"/>
    </xf>
    <xf numFmtId="0" fontId="2" fillId="0" borderId="2" xfId="0" applyFont="1" applyBorder="1" applyAlignment="1" applyProtection="1">
      <alignment vertical="top"/>
      <protection locked="0"/>
    </xf>
    <xf numFmtId="0" fontId="9" fillId="0" borderId="2" xfId="0" applyFont="1" applyBorder="1" applyAlignment="1" applyProtection="1">
      <alignment horizontal="left" vertical="top" wrapText="1"/>
      <protection locked="0"/>
    </xf>
    <xf numFmtId="49" fontId="9" fillId="0" borderId="2" xfId="0" applyNumberFormat="1" applyFont="1" applyBorder="1" applyAlignment="1">
      <alignment horizontal="left" vertical="top"/>
    </xf>
    <xf numFmtId="2" fontId="9" fillId="0" borderId="2" xfId="0" applyNumberFormat="1" applyFont="1" applyBorder="1" applyAlignment="1" applyProtection="1">
      <alignment horizontal="left" vertical="top" wrapText="1"/>
      <protection locked="0"/>
    </xf>
    <xf numFmtId="0" fontId="9" fillId="0" borderId="2" xfId="0" applyFont="1" applyBorder="1" applyAlignment="1" applyProtection="1">
      <alignment horizontal="left" vertical="top"/>
      <protection locked="0"/>
    </xf>
    <xf numFmtId="2" fontId="2" fillId="0" borderId="2" xfId="0" applyNumberFormat="1" applyFont="1" applyBorder="1" applyAlignment="1">
      <alignment vertical="top" wrapText="1"/>
    </xf>
    <xf numFmtId="0" fontId="2" fillId="0" borderId="2" xfId="0" applyFont="1" applyBorder="1" applyAlignment="1">
      <alignment horizontal="left" vertical="top"/>
    </xf>
    <xf numFmtId="0" fontId="2" fillId="0" borderId="2" xfId="0" applyFont="1" applyBorder="1" applyAlignment="1">
      <alignment vertical="top"/>
    </xf>
    <xf numFmtId="0" fontId="2" fillId="0" borderId="2" xfId="0" applyFont="1" applyBorder="1" applyAlignment="1">
      <alignment horizontal="left" vertical="top" wrapText="1"/>
    </xf>
    <xf numFmtId="2" fontId="2" fillId="0" borderId="2" xfId="0" applyNumberFormat="1" applyFont="1" applyBorder="1" applyAlignment="1">
      <alignment horizontal="left" vertical="top" wrapText="1"/>
    </xf>
    <xf numFmtId="2" fontId="2" fillId="0" borderId="2" xfId="0" applyNumberFormat="1" applyFont="1" applyBorder="1" applyAlignment="1">
      <alignment horizontal="left" vertical="top"/>
    </xf>
    <xf numFmtId="0" fontId="0" fillId="0" borderId="1" xfId="0" applyBorder="1" applyAlignment="1" applyProtection="1">
      <alignment horizontal="center" vertical="top"/>
      <protection locked="0"/>
    </xf>
    <xf numFmtId="0" fontId="0" fillId="0" borderId="1" xfId="0" applyBorder="1" applyAlignment="1">
      <alignment vertical="top"/>
    </xf>
    <xf numFmtId="49" fontId="0" fillId="0" borderId="1" xfId="0" applyNumberFormat="1" applyBorder="1" applyAlignment="1" applyProtection="1">
      <alignment horizontal="left" vertical="top"/>
      <protection locked="0"/>
    </xf>
    <xf numFmtId="2" fontId="0" fillId="0" borderId="1" xfId="0" applyNumberFormat="1" applyBorder="1" applyAlignment="1">
      <alignment vertical="top" wrapText="1"/>
    </xf>
    <xf numFmtId="0" fontId="0" fillId="0" borderId="1" xfId="0" applyBorder="1" applyAlignment="1">
      <alignment horizontal="left" vertical="top"/>
    </xf>
    <xf numFmtId="2" fontId="0" fillId="0" borderId="1" xfId="0" applyNumberFormat="1" applyBorder="1" applyAlignment="1">
      <alignment horizontal="left" vertical="top"/>
    </xf>
    <xf numFmtId="0" fontId="0" fillId="3" borderId="1" xfId="0" applyFill="1" applyBorder="1" applyAlignment="1" applyProtection="1">
      <alignment vertical="top"/>
      <protection locked="0"/>
    </xf>
    <xf numFmtId="0" fontId="0" fillId="3" borderId="1" xfId="0" applyFill="1" applyBorder="1" applyAlignment="1" applyProtection="1">
      <alignment horizontal="center" vertical="top"/>
      <protection locked="0"/>
    </xf>
    <xf numFmtId="0" fontId="2" fillId="3" borderId="1" xfId="0" applyFont="1" applyFill="1" applyBorder="1" applyAlignment="1" applyProtection="1">
      <alignment horizontal="center" vertical="top"/>
      <protection locked="0"/>
    </xf>
    <xf numFmtId="0" fontId="0" fillId="3" borderId="1" xfId="0" applyFill="1" applyBorder="1" applyAlignment="1" applyProtection="1">
      <alignment horizontal="left" vertical="top"/>
      <protection locked="0"/>
    </xf>
    <xf numFmtId="49" fontId="0" fillId="3" borderId="1" xfId="0" applyNumberFormat="1" applyFill="1" applyBorder="1" applyAlignment="1" applyProtection="1">
      <alignment horizontal="left" vertical="top"/>
      <protection locked="0"/>
    </xf>
    <xf numFmtId="2" fontId="1" fillId="3" borderId="1" xfId="0" applyNumberFormat="1" applyFont="1" applyFill="1" applyBorder="1" applyAlignment="1" applyProtection="1">
      <alignment horizontal="left" vertical="top" wrapText="1"/>
      <protection locked="0"/>
    </xf>
    <xf numFmtId="0" fontId="2" fillId="3" borderId="1" xfId="0" applyFont="1" applyFill="1" applyBorder="1" applyAlignment="1" applyProtection="1">
      <alignment horizontal="left" vertical="top"/>
      <protection locked="0"/>
    </xf>
    <xf numFmtId="2" fontId="2" fillId="3" borderId="1" xfId="0" applyNumberFormat="1" applyFont="1" applyFill="1" applyBorder="1" applyAlignment="1" applyProtection="1">
      <alignment horizontal="left" vertical="top"/>
      <protection locked="0"/>
    </xf>
    <xf numFmtId="0" fontId="5" fillId="0" borderId="1" xfId="0" applyFont="1" applyBorder="1" applyAlignment="1" applyProtection="1">
      <alignment horizontal="center" vertical="top"/>
      <protection locked="0"/>
    </xf>
    <xf numFmtId="0" fontId="0" fillId="0" borderId="11" xfId="0" applyBorder="1" applyAlignment="1" applyProtection="1">
      <alignment horizontal="left" vertical="top"/>
      <protection locked="0"/>
    </xf>
    <xf numFmtId="0" fontId="0" fillId="0" borderId="12" xfId="0" applyBorder="1" applyAlignment="1" applyProtection="1">
      <alignment horizontal="left" vertical="top"/>
      <protection locked="0"/>
    </xf>
    <xf numFmtId="49" fontId="0" fillId="0" borderId="12" xfId="0" applyNumberFormat="1" applyBorder="1" applyAlignment="1" applyProtection="1">
      <alignment horizontal="left" vertical="top"/>
      <protection locked="0"/>
    </xf>
    <xf numFmtId="2" fontId="1" fillId="0" borderId="12" xfId="0" applyNumberFormat="1" applyFont="1" applyBorder="1" applyAlignment="1" applyProtection="1">
      <alignment horizontal="left" vertical="top" wrapText="1"/>
      <protection locked="0"/>
    </xf>
    <xf numFmtId="0" fontId="0" fillId="0" borderId="13" xfId="0" applyBorder="1" applyAlignment="1" applyProtection="1">
      <alignment vertical="top"/>
      <protection locked="0"/>
    </xf>
    <xf numFmtId="49" fontId="0" fillId="0" borderId="1" xfId="0" applyNumberFormat="1" applyBorder="1" applyAlignment="1" applyProtection="1">
      <alignment vertical="top"/>
      <protection locked="0"/>
    </xf>
    <xf numFmtId="49" fontId="0" fillId="0" borderId="1" xfId="0" applyNumberFormat="1" applyBorder="1" applyAlignment="1">
      <alignment vertical="top"/>
    </xf>
    <xf numFmtId="2"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xf>
    <xf numFmtId="0" fontId="0" fillId="0" borderId="14" xfId="0" applyBorder="1" applyAlignment="1">
      <alignment vertical="top" wrapText="1"/>
    </xf>
    <xf numFmtId="49" fontId="0" fillId="0" borderId="1" xfId="0" applyNumberFormat="1" applyBorder="1" applyAlignment="1">
      <alignment horizontal="left" vertical="top"/>
    </xf>
    <xf numFmtId="49" fontId="1" fillId="0" borderId="1" xfId="0" applyNumberFormat="1" applyFont="1" applyBorder="1" applyAlignment="1" applyProtection="1">
      <alignment horizontal="center" vertical="top" wrapText="1"/>
      <protection locked="0"/>
    </xf>
    <xf numFmtId="49" fontId="0" fillId="0" borderId="1" xfId="0" applyNumberFormat="1" applyBorder="1" applyAlignment="1" applyProtection="1">
      <alignment vertical="top" wrapText="1"/>
      <protection locked="0"/>
    </xf>
    <xf numFmtId="0" fontId="8" fillId="0" borderId="1" xfId="0" applyFont="1" applyBorder="1" applyAlignment="1">
      <alignment vertical="top" wrapText="1"/>
    </xf>
    <xf numFmtId="0" fontId="0" fillId="0" borderId="1" xfId="0" applyBorder="1" applyAlignment="1">
      <alignment vertical="top" wrapText="1"/>
    </xf>
    <xf numFmtId="49" fontId="0" fillId="0" borderId="1" xfId="0" applyNumberFormat="1" applyBorder="1" applyAlignment="1" applyProtection="1">
      <alignment horizontal="left" vertical="top" wrapText="1"/>
      <protection locked="0"/>
    </xf>
    <xf numFmtId="49" fontId="5" fillId="0" borderId="1" xfId="0" applyNumberFormat="1" applyFont="1" applyBorder="1" applyAlignment="1" applyProtection="1">
      <alignment vertical="top"/>
      <protection locked="0"/>
    </xf>
    <xf numFmtId="49" fontId="5" fillId="0" borderId="1" xfId="0" applyNumberFormat="1" applyFont="1" applyBorder="1" applyAlignment="1" applyProtection="1">
      <alignment horizontal="left" vertical="top" wrapText="1"/>
      <protection locked="0"/>
    </xf>
    <xf numFmtId="49" fontId="5" fillId="0" borderId="1" xfId="0" applyNumberFormat="1" applyFont="1" applyBorder="1" applyAlignment="1" applyProtection="1">
      <alignment horizontal="left" vertical="top"/>
      <protection locked="0"/>
    </xf>
    <xf numFmtId="0" fontId="5" fillId="0" borderId="1" xfId="0" applyFont="1" applyBorder="1" applyAlignment="1" applyProtection="1">
      <alignment horizontal="left" vertical="top" wrapText="1"/>
      <protection locked="0"/>
    </xf>
    <xf numFmtId="49" fontId="5" fillId="0" borderId="1" xfId="0" applyNumberFormat="1" applyFont="1" applyBorder="1" applyAlignment="1">
      <alignment horizontal="left" vertical="top"/>
    </xf>
    <xf numFmtId="2" fontId="0" fillId="0" borderId="1" xfId="3" applyNumberFormat="1" applyFont="1" applyBorder="1" applyAlignment="1">
      <alignment horizontal="left" vertical="top" wrapText="1"/>
    </xf>
    <xf numFmtId="2" fontId="0" fillId="0" borderId="1" xfId="0" applyNumberFormat="1" applyBorder="1" applyAlignment="1" applyProtection="1">
      <alignment horizontal="left" vertical="top" wrapText="1"/>
      <protection locked="0"/>
    </xf>
    <xf numFmtId="2" fontId="5" fillId="0" borderId="1" xfId="0" applyNumberFormat="1" applyFont="1" applyBorder="1" applyAlignment="1" applyProtection="1">
      <alignment horizontal="left" vertical="top" wrapText="1"/>
      <protection locked="0"/>
    </xf>
    <xf numFmtId="2" fontId="5" fillId="0" borderId="1" xfId="0" applyNumberFormat="1" applyFont="1" applyBorder="1" applyAlignment="1" applyProtection="1">
      <alignment horizontal="left" vertical="top"/>
      <protection locked="0"/>
    </xf>
    <xf numFmtId="2" fontId="10" fillId="0" borderId="1" xfId="5" applyNumberFormat="1" applyFont="1" applyBorder="1" applyAlignment="1">
      <alignment horizontal="left" vertical="top" wrapText="1"/>
    </xf>
    <xf numFmtId="0" fontId="11" fillId="0" borderId="1" xfId="0" applyFont="1" applyBorder="1" applyAlignment="1" applyProtection="1">
      <alignment vertical="top"/>
      <protection locked="0"/>
    </xf>
    <xf numFmtId="0" fontId="11" fillId="0" borderId="1" xfId="0" applyFont="1" applyBorder="1" applyAlignment="1" applyProtection="1">
      <alignment horizontal="center" vertical="top"/>
      <protection locked="0"/>
    </xf>
    <xf numFmtId="0" fontId="11" fillId="0" borderId="1" xfId="0" applyFont="1" applyBorder="1" applyAlignment="1" applyProtection="1">
      <alignment horizontal="left" vertical="top"/>
      <protection locked="0"/>
    </xf>
    <xf numFmtId="0" fontId="12" fillId="0" borderId="1" xfId="0" applyFont="1" applyBorder="1" applyAlignment="1">
      <alignment vertical="top"/>
    </xf>
    <xf numFmtId="0" fontId="11" fillId="0" borderId="1" xfId="0" applyFont="1" applyBorder="1" applyAlignment="1" applyProtection="1">
      <alignment horizontal="center" vertical="center"/>
      <protection locked="0"/>
    </xf>
    <xf numFmtId="0" fontId="12" fillId="0" borderId="1" xfId="0" applyFont="1" applyBorder="1" applyAlignment="1" applyProtection="1">
      <alignment horizontal="left" vertical="top"/>
      <protection locked="0"/>
    </xf>
    <xf numFmtId="49" fontId="12" fillId="0" borderId="1" xfId="0" applyNumberFormat="1" applyFont="1" applyBorder="1" applyAlignment="1" applyProtection="1">
      <alignment horizontal="left" vertical="top"/>
      <protection locked="0"/>
    </xf>
    <xf numFmtId="2" fontId="12" fillId="0" borderId="1" xfId="0" applyNumberFormat="1" applyFont="1" applyBorder="1" applyAlignment="1" applyProtection="1">
      <alignment horizontal="left" vertical="top" wrapText="1"/>
      <protection locked="0"/>
    </xf>
    <xf numFmtId="0" fontId="12" fillId="0" borderId="1" xfId="0" applyFont="1" applyBorder="1" applyAlignment="1" applyProtection="1">
      <alignment vertical="top"/>
      <protection locked="0"/>
    </xf>
    <xf numFmtId="0" fontId="12" fillId="5" borderId="1" xfId="0" applyFont="1" applyFill="1" applyBorder="1" applyAlignment="1" applyProtection="1">
      <alignment vertical="top"/>
      <protection locked="0"/>
    </xf>
    <xf numFmtId="0" fontId="11" fillId="5" borderId="1" xfId="0" applyFont="1" applyFill="1" applyBorder="1" applyAlignment="1" applyProtection="1">
      <alignment vertical="top"/>
      <protection locked="0"/>
    </xf>
    <xf numFmtId="49" fontId="11" fillId="0" borderId="1" xfId="0" applyNumberFormat="1" applyFont="1" applyBorder="1" applyAlignment="1" applyProtection="1">
      <alignment horizontal="left" vertical="top"/>
      <protection locked="0"/>
    </xf>
    <xf numFmtId="2" fontId="11" fillId="0" borderId="1" xfId="0" applyNumberFormat="1" applyFont="1" applyBorder="1" applyAlignment="1" applyProtection="1">
      <alignment horizontal="left" vertical="top" wrapText="1"/>
      <protection locked="0"/>
    </xf>
    <xf numFmtId="0" fontId="11" fillId="5" borderId="1" xfId="0" applyFont="1" applyFill="1" applyBorder="1" applyAlignment="1" applyProtection="1">
      <alignment horizontal="center" vertical="top"/>
      <protection locked="0"/>
    </xf>
    <xf numFmtId="2" fontId="11" fillId="0" borderId="1" xfId="0" applyNumberFormat="1" applyFont="1" applyBorder="1" applyAlignment="1" applyProtection="1">
      <alignment horizontal="left" vertical="top"/>
      <protection locked="0"/>
    </xf>
    <xf numFmtId="0" fontId="11" fillId="0" borderId="1" xfId="0" applyFont="1" applyBorder="1" applyAlignment="1" applyProtection="1">
      <alignment horizontal="left" vertical="top" wrapText="1"/>
      <protection locked="0"/>
    </xf>
    <xf numFmtId="49" fontId="11" fillId="0" borderId="1" xfId="0" applyNumberFormat="1" applyFont="1" applyBorder="1" applyAlignment="1">
      <alignment horizontal="left" vertical="top"/>
    </xf>
    <xf numFmtId="0" fontId="11" fillId="5" borderId="1" xfId="0" applyFont="1" applyFill="1" applyBorder="1" applyAlignment="1" applyProtection="1">
      <alignment horizontal="left" vertical="top"/>
      <protection locked="0"/>
    </xf>
    <xf numFmtId="0" fontId="12" fillId="0" borderId="1" xfId="0" applyFont="1" applyBorder="1" applyAlignment="1" applyProtection="1">
      <alignment horizontal="left" vertical="top" wrapText="1"/>
      <protection locked="0"/>
    </xf>
    <xf numFmtId="49" fontId="12" fillId="0" borderId="1" xfId="0" applyNumberFormat="1" applyFont="1" applyBorder="1" applyAlignment="1" applyProtection="1">
      <alignment horizontal="left" vertical="top" wrapText="1"/>
      <protection locked="0"/>
    </xf>
    <xf numFmtId="0" fontId="12" fillId="0" borderId="1" xfId="0" applyFont="1" applyBorder="1" applyAlignment="1">
      <alignment horizontal="left" vertical="top"/>
    </xf>
    <xf numFmtId="2" fontId="12" fillId="0" borderId="1" xfId="0" applyNumberFormat="1" applyFont="1" applyBorder="1" applyAlignment="1">
      <alignment horizontal="left" vertical="top"/>
    </xf>
    <xf numFmtId="0" fontId="12" fillId="5" borderId="1" xfId="0" applyFont="1" applyFill="1" applyBorder="1" applyAlignment="1">
      <alignment vertical="top"/>
    </xf>
    <xf numFmtId="2" fontId="12" fillId="0" borderId="1" xfId="3" applyNumberFormat="1" applyFont="1" applyBorder="1" applyAlignment="1">
      <alignment horizontal="left" vertical="top" wrapText="1"/>
    </xf>
    <xf numFmtId="0" fontId="12" fillId="6" borderId="1" xfId="0" applyFont="1" applyFill="1" applyBorder="1" applyAlignment="1" applyProtection="1">
      <alignment horizontal="left" vertical="top" wrapText="1"/>
      <protection locked="0"/>
    </xf>
    <xf numFmtId="2" fontId="12" fillId="7" borderId="1" xfId="3" applyNumberFormat="1" applyFont="1" applyFill="1" applyBorder="1" applyAlignment="1">
      <alignment horizontal="left" vertical="top" wrapText="1"/>
    </xf>
    <xf numFmtId="0" fontId="12" fillId="0" borderId="1" xfId="0" applyFont="1" applyBorder="1" applyAlignment="1" applyProtection="1">
      <alignment vertical="top" wrapText="1"/>
      <protection locked="0"/>
    </xf>
    <xf numFmtId="0" fontId="13" fillId="0" borderId="1" xfId="0" applyFont="1" applyBorder="1" applyAlignment="1" applyProtection="1">
      <alignment vertical="top" wrapText="1"/>
      <protection locked="0"/>
    </xf>
    <xf numFmtId="0" fontId="11" fillId="0" borderId="1" xfId="0" applyFont="1" applyBorder="1" applyAlignment="1" applyProtection="1">
      <alignment horizontal="center" vertical="center" wrapText="1"/>
      <protection locked="0"/>
    </xf>
    <xf numFmtId="49" fontId="11" fillId="0" borderId="1" xfId="0" applyNumberFormat="1" applyFont="1" applyBorder="1" applyAlignment="1">
      <alignment horizontal="center" vertical="center"/>
    </xf>
    <xf numFmtId="2" fontId="11" fillId="0" borderId="1" xfId="0" applyNumberFormat="1" applyFont="1" applyBorder="1" applyAlignment="1" applyProtection="1">
      <alignment horizontal="center" vertical="center" wrapText="1"/>
      <protection locked="0"/>
    </xf>
    <xf numFmtId="0" fontId="11" fillId="5" borderId="1" xfId="0" applyFont="1" applyFill="1" applyBorder="1" applyAlignment="1" applyProtection="1">
      <alignment horizontal="center" vertical="center"/>
      <protection locked="0"/>
    </xf>
    <xf numFmtId="0" fontId="12" fillId="2" borderId="1" xfId="0" applyFont="1" applyFill="1" applyBorder="1" applyAlignment="1" applyProtection="1">
      <alignment horizontal="left" vertical="top"/>
      <protection locked="0"/>
    </xf>
    <xf numFmtId="0" fontId="12" fillId="2" borderId="1" xfId="0" applyFont="1" applyFill="1" applyBorder="1" applyAlignment="1" applyProtection="1">
      <alignment horizontal="left" vertical="top" wrapText="1"/>
      <protection locked="0"/>
    </xf>
    <xf numFmtId="2" fontId="12" fillId="0" borderId="1" xfId="2" applyNumberFormat="1" applyFont="1" applyBorder="1" applyAlignment="1">
      <alignment horizontal="left" vertical="top" wrapText="1"/>
    </xf>
    <xf numFmtId="0" fontId="12" fillId="2" borderId="1" xfId="0" applyFont="1" applyFill="1" applyBorder="1" applyAlignment="1">
      <alignment horizontal="left" vertical="top"/>
    </xf>
    <xf numFmtId="0" fontId="12" fillId="8" borderId="1" xfId="0" applyFont="1" applyFill="1" applyBorder="1" applyAlignment="1">
      <alignment horizontal="left" vertical="top"/>
    </xf>
    <xf numFmtId="2" fontId="14" fillId="2" borderId="1" xfId="0" applyNumberFormat="1" applyFont="1" applyFill="1" applyBorder="1" applyAlignment="1" applyProtection="1">
      <alignment vertical="center" wrapText="1"/>
      <protection locked="0"/>
    </xf>
    <xf numFmtId="2" fontId="14" fillId="2" borderId="1" xfId="0" applyNumberFormat="1" applyFont="1" applyFill="1" applyBorder="1" applyAlignment="1" applyProtection="1">
      <alignment horizontal="left" vertical="center" wrapText="1"/>
      <protection locked="0"/>
    </xf>
    <xf numFmtId="2" fontId="15" fillId="0" borderId="1" xfId="4" applyNumberFormat="1" applyBorder="1" applyAlignment="1">
      <alignment horizontal="left" vertical="top" wrapText="1"/>
    </xf>
    <xf numFmtId="2" fontId="15" fillId="0" borderId="1" xfId="5" applyNumberFormat="1" applyBorder="1" applyAlignment="1">
      <alignment horizontal="left" vertical="top" wrapText="1"/>
    </xf>
    <xf numFmtId="0" fontId="12" fillId="8" borderId="1" xfId="0" applyFont="1" applyFill="1" applyBorder="1" applyAlignment="1" applyProtection="1">
      <alignment horizontal="left" vertical="top"/>
      <protection locked="0"/>
    </xf>
    <xf numFmtId="0" fontId="14" fillId="2" borderId="1" xfId="0" applyFont="1" applyFill="1" applyBorder="1" applyAlignment="1" applyProtection="1">
      <alignment horizontal="left" vertical="top"/>
      <protection locked="0"/>
    </xf>
    <xf numFmtId="0" fontId="14" fillId="0" borderId="1" xfId="0" applyFont="1" applyBorder="1" applyAlignment="1" applyProtection="1">
      <alignment vertical="top" wrapText="1"/>
      <protection locked="0"/>
    </xf>
    <xf numFmtId="2" fontId="12" fillId="0" borderId="1" xfId="1" applyNumberFormat="1" applyFont="1" applyBorder="1" applyAlignment="1">
      <alignment horizontal="left" vertical="top" wrapText="1"/>
    </xf>
    <xf numFmtId="0" fontId="12" fillId="0" borderId="14" xfId="0" applyFont="1" applyBorder="1" applyAlignment="1" applyProtection="1">
      <alignment horizontal="left" vertical="top" wrapText="1"/>
      <protection locked="0"/>
    </xf>
    <xf numFmtId="2" fontId="12" fillId="0" borderId="14" xfId="0" applyNumberFormat="1" applyFont="1" applyBorder="1" applyAlignment="1" applyProtection="1">
      <alignment horizontal="left" vertical="top" wrapText="1"/>
      <protection locked="0"/>
    </xf>
    <xf numFmtId="0" fontId="12" fillId="0" borderId="14" xfId="0" applyFont="1" applyBorder="1" applyAlignment="1" applyProtection="1">
      <alignment vertical="top"/>
      <protection locked="0"/>
    </xf>
    <xf numFmtId="0" fontId="12" fillId="5" borderId="14" xfId="0" applyFont="1" applyFill="1" applyBorder="1" applyAlignment="1" applyProtection="1">
      <alignment vertical="top"/>
      <protection locked="0"/>
    </xf>
    <xf numFmtId="2" fontId="14" fillId="2" borderId="14" xfId="0" applyNumberFormat="1" applyFont="1" applyFill="1" applyBorder="1" applyAlignment="1" applyProtection="1">
      <alignment horizontal="left" vertical="center" wrapText="1"/>
      <protection locked="0"/>
    </xf>
    <xf numFmtId="0" fontId="12" fillId="8" borderId="11" xfId="0" applyFont="1" applyFill="1" applyBorder="1" applyAlignment="1" applyProtection="1">
      <alignment horizontal="left" vertical="top"/>
      <protection locked="0"/>
    </xf>
    <xf numFmtId="0" fontId="12" fillId="0" borderId="2" xfId="0" applyFont="1" applyBorder="1" applyAlignment="1" applyProtection="1">
      <alignment horizontal="left" vertical="top" wrapText="1"/>
      <protection locked="0"/>
    </xf>
    <xf numFmtId="2" fontId="12" fillId="0" borderId="2" xfId="0" applyNumberFormat="1" applyFont="1" applyBorder="1" applyAlignment="1" applyProtection="1">
      <alignment horizontal="left" vertical="top" wrapText="1"/>
      <protection locked="0"/>
    </xf>
    <xf numFmtId="0" fontId="12" fillId="0" borderId="2" xfId="0" applyFont="1" applyBorder="1" applyAlignment="1" applyProtection="1">
      <alignment vertical="top"/>
      <protection locked="0"/>
    </xf>
    <xf numFmtId="0" fontId="12" fillId="5" borderId="2" xfId="0" applyFont="1" applyFill="1" applyBorder="1" applyAlignment="1" applyProtection="1">
      <alignment vertical="top"/>
      <protection locked="0"/>
    </xf>
    <xf numFmtId="2" fontId="14" fillId="2" borderId="2" xfId="0" applyNumberFormat="1" applyFont="1" applyFill="1" applyBorder="1" applyAlignment="1" applyProtection="1">
      <alignment horizontal="left" vertical="center" wrapText="1"/>
      <protection locked="0"/>
    </xf>
    <xf numFmtId="0" fontId="12" fillId="0" borderId="11" xfId="0" applyFont="1" applyBorder="1" applyAlignment="1" applyProtection="1">
      <alignment horizontal="left" vertical="top"/>
      <protection locked="0"/>
    </xf>
    <xf numFmtId="0" fontId="11" fillId="0" borderId="2" xfId="0" applyFont="1" applyBorder="1" applyAlignment="1" applyProtection="1">
      <alignment horizontal="left" vertical="top" wrapText="1"/>
      <protection locked="0"/>
    </xf>
    <xf numFmtId="0" fontId="14" fillId="2" borderId="17" xfId="0" applyFont="1" applyFill="1" applyBorder="1" applyAlignment="1" applyProtection="1">
      <alignment horizontal="left" vertical="center"/>
      <protection locked="0"/>
    </xf>
    <xf numFmtId="0" fontId="12" fillId="9" borderId="11" xfId="0" applyFont="1" applyFill="1" applyBorder="1" applyAlignment="1" applyProtection="1">
      <alignment horizontal="left" vertical="top"/>
      <protection locked="0"/>
    </xf>
    <xf numFmtId="0" fontId="1" fillId="0" borderId="2" xfId="0" applyFont="1" applyBorder="1" applyAlignment="1">
      <alignment horizontal="left" vertical="center"/>
    </xf>
    <xf numFmtId="2" fontId="16" fillId="2" borderId="1" xfId="0" applyNumberFormat="1" applyFont="1" applyFill="1" applyBorder="1" applyAlignment="1" applyProtection="1">
      <alignment horizontal="left" vertical="center" wrapText="1"/>
      <protection locked="0"/>
    </xf>
    <xf numFmtId="0" fontId="12" fillId="0" borderId="11" xfId="0" applyFont="1" applyBorder="1" applyAlignment="1">
      <alignment horizontal="left" vertical="top"/>
    </xf>
    <xf numFmtId="0" fontId="12" fillId="0" borderId="2" xfId="0" applyFont="1" applyBorder="1" applyAlignment="1">
      <alignment vertical="top"/>
    </xf>
    <xf numFmtId="0" fontId="12" fillId="5" borderId="2" xfId="0" applyFont="1" applyFill="1" applyBorder="1" applyAlignment="1">
      <alignment vertical="top"/>
    </xf>
    <xf numFmtId="0" fontId="12" fillId="0" borderId="2" xfId="0" applyFont="1" applyBorder="1" applyAlignment="1">
      <alignment horizontal="center" vertical="center"/>
    </xf>
    <xf numFmtId="0" fontId="12" fillId="6" borderId="11" xfId="0" applyFont="1" applyFill="1" applyBorder="1" applyAlignment="1" applyProtection="1">
      <alignment horizontal="left" vertical="top"/>
      <protection locked="0"/>
    </xf>
    <xf numFmtId="0" fontId="12" fillId="0" borderId="2" xfId="0" applyFont="1" applyBorder="1" applyAlignment="1" applyProtection="1">
      <alignment vertical="top" wrapText="1"/>
      <protection locked="0"/>
    </xf>
    <xf numFmtId="0" fontId="12" fillId="0" borderId="13" xfId="0" applyFont="1" applyBorder="1" applyAlignment="1" applyProtection="1">
      <alignment vertical="top"/>
      <protection locked="0"/>
    </xf>
    <xf numFmtId="0" fontId="12" fillId="0" borderId="13" xfId="0" applyFont="1" applyBorder="1" applyAlignment="1">
      <alignment vertical="top"/>
    </xf>
    <xf numFmtId="0" fontId="12" fillId="10" borderId="2" xfId="0" applyFont="1" applyFill="1" applyBorder="1" applyAlignment="1" applyProtection="1">
      <alignment vertical="top" wrapText="1"/>
      <protection locked="0"/>
    </xf>
    <xf numFmtId="0" fontId="12" fillId="0" borderId="16" xfId="0" applyFont="1" applyBorder="1" applyAlignment="1" applyProtection="1">
      <alignment horizontal="left" vertical="top" wrapText="1"/>
      <protection locked="0"/>
    </xf>
    <xf numFmtId="2" fontId="12" fillId="0" borderId="16" xfId="0" applyNumberFormat="1" applyFont="1" applyBorder="1" applyAlignment="1" applyProtection="1">
      <alignment horizontal="left" vertical="top" wrapText="1"/>
      <protection locked="0"/>
    </xf>
    <xf numFmtId="0" fontId="12" fillId="0" borderId="16" xfId="0" applyFont="1" applyBorder="1" applyAlignment="1" applyProtection="1">
      <alignment vertical="top"/>
      <protection locked="0"/>
    </xf>
    <xf numFmtId="0" fontId="12" fillId="5" borderId="16" xfId="0" applyFont="1" applyFill="1" applyBorder="1" applyAlignment="1" applyProtection="1">
      <alignment vertical="top"/>
      <protection locked="0"/>
    </xf>
    <xf numFmtId="2" fontId="14" fillId="2" borderId="15" xfId="0" applyNumberFormat="1" applyFont="1" applyFill="1" applyBorder="1" applyAlignment="1" applyProtection="1">
      <alignment horizontal="left" vertical="center" wrapText="1"/>
      <protection locked="0"/>
    </xf>
    <xf numFmtId="2" fontId="16" fillId="10" borderId="1" xfId="0" applyNumberFormat="1" applyFont="1" applyFill="1" applyBorder="1" applyAlignment="1" applyProtection="1">
      <alignment horizontal="center" vertical="center" wrapText="1"/>
      <protection locked="0"/>
    </xf>
    <xf numFmtId="0" fontId="12" fillId="7" borderId="1" xfId="0" applyFont="1" applyFill="1" applyBorder="1" applyAlignment="1">
      <alignment horizontal="left" vertical="center"/>
    </xf>
    <xf numFmtId="0" fontId="12" fillId="7" borderId="1" xfId="0" applyFont="1" applyFill="1" applyBorder="1" applyAlignment="1">
      <alignment horizontal="left" vertical="center" wrapText="1"/>
    </xf>
    <xf numFmtId="0" fontId="0" fillId="4" borderId="1" xfId="0" applyFill="1" applyBorder="1" applyAlignment="1" applyProtection="1">
      <alignment vertical="top"/>
      <protection locked="0"/>
    </xf>
    <xf numFmtId="0" fontId="5" fillId="4" borderId="1" xfId="0" applyFont="1" applyFill="1" applyBorder="1" applyAlignment="1" applyProtection="1">
      <alignment horizontal="center" vertical="center"/>
      <protection locked="0"/>
    </xf>
    <xf numFmtId="0" fontId="5" fillId="4" borderId="1" xfId="0" applyFont="1" applyFill="1" applyBorder="1" applyAlignment="1" applyProtection="1">
      <alignment horizontal="center" vertical="center" wrapText="1"/>
      <protection locked="0"/>
    </xf>
    <xf numFmtId="0" fontId="0" fillId="4" borderId="1" xfId="0" applyFill="1" applyBorder="1" applyAlignment="1" applyProtection="1">
      <alignment horizontal="center" vertical="top"/>
      <protection locked="0"/>
    </xf>
    <xf numFmtId="0" fontId="2" fillId="4" borderId="1" xfId="0" applyFont="1" applyFill="1" applyBorder="1" applyAlignment="1" applyProtection="1">
      <alignment horizontal="left" vertical="top"/>
      <protection locked="0"/>
    </xf>
    <xf numFmtId="0" fontId="0" fillId="4" borderId="1" xfId="0" applyFill="1" applyBorder="1" applyAlignment="1">
      <alignment vertical="top"/>
    </xf>
    <xf numFmtId="49" fontId="0" fillId="0" borderId="1" xfId="0" applyNumberFormat="1" applyBorder="1" applyAlignment="1">
      <alignment horizontal="center" vertical="top" wrapText="1"/>
    </xf>
    <xf numFmtId="0" fontId="0" fillId="4" borderId="1" xfId="0" applyFill="1" applyBorder="1" applyAlignment="1">
      <alignment horizontal="center" vertical="center" wrapText="1"/>
    </xf>
    <xf numFmtId="0" fontId="0" fillId="0" borderId="1" xfId="0" applyBorder="1" applyAlignment="1" applyProtection="1">
      <alignment horizontal="center" vertical="top" wrapText="1"/>
      <protection locked="0"/>
    </xf>
    <xf numFmtId="0" fontId="0" fillId="0" borderId="1" xfId="0" applyBorder="1" applyAlignment="1">
      <alignment horizontal="center" vertical="top" wrapText="1"/>
    </xf>
    <xf numFmtId="0" fontId="1" fillId="11" borderId="2" xfId="0" applyFont="1" applyFill="1" applyBorder="1" applyAlignment="1" applyProtection="1">
      <alignment vertical="top" wrapText="1"/>
      <protection locked="0"/>
    </xf>
    <xf numFmtId="2" fontId="1" fillId="0" borderId="1" xfId="0" applyNumberFormat="1" applyFont="1" applyBorder="1" applyAlignment="1">
      <alignment horizontal="left" vertical="top" wrapText="1"/>
    </xf>
    <xf numFmtId="0" fontId="0" fillId="4" borderId="1" xfId="0" applyFill="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wrapText="1"/>
      <protection locked="0"/>
    </xf>
    <xf numFmtId="0" fontId="0" fillId="4" borderId="1" xfId="0" applyFill="1" applyBorder="1" applyAlignment="1">
      <alignment horizontal="center" vertical="center"/>
    </xf>
    <xf numFmtId="49" fontId="0" fillId="0" borderId="1" xfId="0" applyNumberFormat="1" applyBorder="1" applyAlignment="1">
      <alignment horizontal="left" vertical="top" wrapText="1"/>
    </xf>
    <xf numFmtId="0" fontId="1" fillId="0" borderId="1" xfId="0" applyFont="1" applyBorder="1" applyAlignment="1">
      <alignment horizontal="left" vertical="top" wrapText="1"/>
    </xf>
    <xf numFmtId="0" fontId="0" fillId="4" borderId="1" xfId="0" applyFill="1" applyBorder="1" applyAlignment="1" applyProtection="1">
      <alignment horizontal="left" vertical="top"/>
      <protection locked="0"/>
    </xf>
    <xf numFmtId="49" fontId="0" fillId="4" borderId="1" xfId="0" applyNumberFormat="1" applyFill="1" applyBorder="1" applyAlignment="1" applyProtection="1">
      <alignment vertical="top"/>
      <protection locked="0"/>
    </xf>
    <xf numFmtId="49" fontId="1" fillId="4" borderId="1" xfId="0" applyNumberFormat="1" applyFont="1" applyFill="1" applyBorder="1" applyAlignment="1" applyProtection="1">
      <alignment horizontal="left" vertical="top" wrapText="1"/>
      <protection locked="0"/>
    </xf>
    <xf numFmtId="0" fontId="2" fillId="4" borderId="1" xfId="0" applyFont="1" applyFill="1" applyBorder="1" applyAlignment="1" applyProtection="1">
      <alignment horizontal="center" vertical="top"/>
      <protection locked="0"/>
    </xf>
    <xf numFmtId="49" fontId="2" fillId="4" borderId="1" xfId="0" applyNumberFormat="1" applyFont="1" applyFill="1" applyBorder="1" applyAlignment="1" applyProtection="1">
      <alignment horizontal="left" vertical="top"/>
      <protection locked="0"/>
    </xf>
    <xf numFmtId="0" fontId="1" fillId="4" borderId="1" xfId="0" applyFont="1" applyFill="1" applyBorder="1" applyAlignment="1" applyProtection="1">
      <alignment horizontal="left" vertical="top" wrapText="1"/>
      <protection locked="0"/>
    </xf>
    <xf numFmtId="49" fontId="1" fillId="4" borderId="1" xfId="0" applyNumberFormat="1" applyFont="1" applyFill="1" applyBorder="1" applyAlignment="1" applyProtection="1">
      <alignment horizontal="center" vertical="top" wrapText="1"/>
      <protection locked="0"/>
    </xf>
    <xf numFmtId="0" fontId="2" fillId="4" borderId="1" xfId="0" applyFont="1" applyFill="1" applyBorder="1" applyAlignment="1" applyProtection="1">
      <alignment horizontal="left" vertical="top" wrapText="1"/>
      <protection locked="0"/>
    </xf>
    <xf numFmtId="49" fontId="2" fillId="4" borderId="1" xfId="0" applyNumberFormat="1" applyFont="1" applyFill="1" applyBorder="1" applyAlignment="1">
      <alignment horizontal="left" vertical="top"/>
    </xf>
    <xf numFmtId="49" fontId="2" fillId="4" borderId="1" xfId="0" applyNumberFormat="1" applyFont="1"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49" fontId="0" fillId="4" borderId="1" xfId="0" applyNumberFormat="1" applyFill="1" applyBorder="1" applyAlignment="1" applyProtection="1">
      <alignment vertical="top" wrapText="1"/>
      <protection locked="0"/>
    </xf>
    <xf numFmtId="49" fontId="0" fillId="4" borderId="1" xfId="0" applyNumberFormat="1" applyFill="1" applyBorder="1" applyAlignment="1">
      <alignment vertical="top"/>
    </xf>
    <xf numFmtId="0" fontId="0" fillId="4" borderId="1" xfId="0" applyFill="1" applyBorder="1" applyAlignment="1" applyProtection="1">
      <alignment vertical="top" wrapText="1"/>
      <protection locked="0"/>
    </xf>
    <xf numFmtId="0" fontId="8" fillId="4" borderId="1" xfId="0" applyFont="1" applyFill="1" applyBorder="1" applyAlignment="1">
      <alignment vertical="top" wrapText="1"/>
    </xf>
    <xf numFmtId="0" fontId="0" fillId="4" borderId="1" xfId="0" applyFill="1" applyBorder="1" applyAlignment="1">
      <alignment vertical="top" wrapText="1"/>
    </xf>
    <xf numFmtId="49" fontId="0" fillId="4" borderId="1" xfId="0" applyNumberFormat="1" applyFill="1" applyBorder="1" applyAlignment="1" applyProtection="1">
      <alignment horizontal="left" vertical="top" wrapText="1"/>
      <protection locked="0"/>
    </xf>
    <xf numFmtId="0" fontId="5" fillId="4" borderId="1" xfId="0" applyFont="1" applyFill="1" applyBorder="1" applyAlignment="1" applyProtection="1">
      <alignment horizontal="left" vertical="top"/>
      <protection locked="0"/>
    </xf>
    <xf numFmtId="0" fontId="0" fillId="0" borderId="1" xfId="0" applyBorder="1" applyAlignment="1" applyProtection="1">
      <alignment vertical="top" wrapText="1"/>
      <protection locked="0"/>
    </xf>
    <xf numFmtId="2" fontId="1" fillId="0" borderId="1" xfId="0" applyNumberFormat="1" applyFont="1" applyBorder="1" applyAlignment="1" applyProtection="1">
      <alignment horizontal="center" vertical="top" wrapText="1"/>
      <protection locked="0"/>
    </xf>
    <xf numFmtId="2" fontId="1" fillId="0" borderId="1" xfId="0" applyNumberFormat="1" applyFont="1" applyBorder="1" applyAlignment="1">
      <alignment vertical="top" wrapText="1"/>
    </xf>
    <xf numFmtId="49" fontId="5" fillId="0" borderId="1" xfId="0" applyNumberFormat="1" applyFont="1" applyBorder="1" applyAlignment="1" applyProtection="1">
      <alignment vertical="top" wrapText="1"/>
      <protection locked="0"/>
    </xf>
    <xf numFmtId="2" fontId="3" fillId="0" borderId="1" xfId="0" applyNumberFormat="1" applyFont="1" applyBorder="1" applyAlignment="1" applyProtection="1">
      <alignment horizontal="left" vertical="top" wrapText="1"/>
      <protection locked="0"/>
    </xf>
    <xf numFmtId="2" fontId="7" fillId="0" borderId="1" xfId="5" applyNumberFormat="1" applyFont="1" applyBorder="1" applyAlignment="1">
      <alignment horizontal="left" vertical="top" wrapText="1"/>
    </xf>
    <xf numFmtId="2" fontId="1" fillId="0" borderId="1" xfId="3" applyNumberFormat="1" applyBorder="1" applyAlignment="1">
      <alignment horizontal="left" vertical="top" wrapText="1"/>
    </xf>
    <xf numFmtId="0" fontId="9" fillId="2"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applyAlignment="1" applyProtection="1">
      <alignment horizontal="center" vertical="center"/>
      <protection locked="0"/>
    </xf>
    <xf numFmtId="2" fontId="1" fillId="2" borderId="1" xfId="0" applyNumberFormat="1"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center" vertical="center" wrapText="1"/>
      <protection locked="0"/>
    </xf>
    <xf numFmtId="49" fontId="9" fillId="2" borderId="1" xfId="0" applyNumberFormat="1" applyFont="1" applyFill="1" applyBorder="1" applyAlignment="1">
      <alignment horizontal="center" vertical="center"/>
    </xf>
    <xf numFmtId="49" fontId="9" fillId="2" borderId="1" xfId="0" applyNumberFormat="1" applyFont="1" applyFill="1" applyBorder="1" applyAlignment="1" applyProtection="1">
      <alignment horizontal="center" vertical="center" wrapText="1"/>
      <protection locked="0"/>
    </xf>
    <xf numFmtId="49" fontId="9" fillId="5" borderId="1" xfId="0" applyNumberFormat="1" applyFont="1" applyFill="1" applyBorder="1" applyAlignment="1" applyProtection="1">
      <alignment horizontal="center" vertical="center" wrapText="1"/>
      <protection locked="0"/>
    </xf>
    <xf numFmtId="0" fontId="9" fillId="4" borderId="1" xfId="0" applyFont="1" applyFill="1" applyBorder="1" applyAlignment="1" applyProtection="1">
      <alignment horizontal="center" vertical="center"/>
      <protection locked="0"/>
    </xf>
    <xf numFmtId="2" fontId="1" fillId="5" borderId="1" xfId="0" applyNumberFormat="1" applyFont="1"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2" borderId="1" xfId="0"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protection locked="0"/>
    </xf>
    <xf numFmtId="2" fontId="2" fillId="5" borderId="1" xfId="0" applyNumberFormat="1" applyFont="1" applyFill="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pplyProtection="1">
      <alignment horizontal="center" vertical="center" wrapText="1"/>
      <protection locked="0"/>
    </xf>
    <xf numFmtId="49" fontId="3" fillId="5" borderId="1" xfId="0" applyNumberFormat="1"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2" fontId="1" fillId="2" borderId="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0" fontId="1" fillId="2" borderId="1" xfId="0" applyFont="1" applyFill="1" applyBorder="1" applyAlignment="1" applyProtection="1">
      <alignment horizontal="center" vertical="center"/>
      <protection locked="0"/>
    </xf>
    <xf numFmtId="0" fontId="4" fillId="0" borderId="1" xfId="0" applyFont="1" applyBorder="1" applyAlignment="1">
      <alignment horizontal="center" vertical="center"/>
    </xf>
    <xf numFmtId="2" fontId="1" fillId="2" borderId="1" xfId="3" applyNumberFormat="1" applyFill="1" applyBorder="1" applyAlignment="1">
      <alignment horizontal="center" vertical="center" wrapText="1"/>
    </xf>
    <xf numFmtId="2" fontId="1" fillId="5" borderId="1" xfId="3" applyNumberFormat="1" applyFill="1" applyBorder="1" applyAlignment="1">
      <alignment horizontal="center" vertical="center" wrapText="1"/>
    </xf>
    <xf numFmtId="2" fontId="1" fillId="4" borderId="1" xfId="3" applyNumberFormat="1" applyFill="1" applyBorder="1" applyAlignment="1">
      <alignment horizontal="center" vertical="center" wrapText="1"/>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1" fillId="2" borderId="1" xfId="0" applyFont="1" applyFill="1" applyBorder="1" applyAlignment="1">
      <alignment horizontal="center" vertical="center"/>
    </xf>
    <xf numFmtId="2" fontId="1" fillId="2" borderId="1" xfId="3" applyNumberFormat="1" applyFill="1" applyBorder="1" applyAlignment="1">
      <alignment horizontal="center" vertical="center"/>
    </xf>
    <xf numFmtId="2" fontId="1" fillId="5" borderId="1" xfId="3" applyNumberFormat="1" applyFill="1" applyBorder="1" applyAlignment="1">
      <alignment horizontal="center" vertical="center"/>
    </xf>
    <xf numFmtId="0" fontId="1" fillId="0" borderId="2" xfId="0" applyFont="1" applyBorder="1" applyAlignment="1" applyProtection="1">
      <alignment horizontal="center" vertical="center" wrapText="1"/>
      <protection locked="0"/>
    </xf>
    <xf numFmtId="0" fontId="1" fillId="5" borderId="2" xfId="0" applyFont="1" applyFill="1" applyBorder="1" applyAlignment="1" applyProtection="1">
      <alignment horizontal="center" vertical="center" wrapText="1"/>
      <protection locked="0"/>
    </xf>
    <xf numFmtId="2" fontId="1" fillId="0" borderId="1" xfId="3" applyNumberFormat="1" applyBorder="1" applyAlignment="1">
      <alignment horizontal="center" vertical="center" wrapText="1"/>
    </xf>
    <xf numFmtId="2" fontId="1" fillId="0" borderId="1" xfId="0" applyNumberFormat="1" applyFont="1" applyBorder="1" applyAlignment="1" applyProtection="1">
      <alignment horizontal="center" vertical="center" wrapText="1"/>
      <protection locked="0"/>
    </xf>
    <xf numFmtId="0" fontId="1" fillId="12" borderId="1" xfId="0" applyFont="1" applyFill="1" applyBorder="1" applyAlignment="1" applyProtection="1">
      <alignment horizontal="center" vertical="center" wrapText="1"/>
      <protection locked="0"/>
    </xf>
    <xf numFmtId="0" fontId="1" fillId="12" borderId="1" xfId="0" applyFont="1" applyFill="1" applyBorder="1" applyAlignment="1" applyProtection="1">
      <alignment horizontal="center" vertical="center"/>
      <protection locked="0"/>
    </xf>
    <xf numFmtId="2" fontId="1" fillId="12" borderId="1" xfId="0" applyNumberFormat="1" applyFont="1" applyFill="1" applyBorder="1" applyAlignment="1" applyProtection="1">
      <alignment horizontal="center" vertical="center" wrapText="1"/>
      <protection locked="0"/>
    </xf>
    <xf numFmtId="2" fontId="7" fillId="2" borderId="1" xfId="9" applyNumberFormat="1" applyFont="1" applyFill="1" applyBorder="1" applyAlignment="1">
      <alignment horizontal="center" vertical="center" wrapText="1"/>
    </xf>
    <xf numFmtId="2" fontId="7" fillId="5" borderId="1" xfId="9" applyNumberFormat="1" applyFont="1" applyFill="1" applyBorder="1" applyAlignment="1">
      <alignment horizontal="center" vertical="center" wrapText="1"/>
    </xf>
    <xf numFmtId="2" fontId="1" fillId="2" borderId="1" xfId="2" applyNumberFormat="1" applyFill="1" applyBorder="1" applyAlignment="1">
      <alignment horizontal="center" vertical="center" wrapText="1"/>
    </xf>
    <xf numFmtId="2" fontId="1" fillId="5" borderId="1" xfId="2" applyNumberFormat="1" applyFill="1" applyBorder="1" applyAlignment="1">
      <alignment horizontal="center" vertical="center" wrapText="1"/>
    </xf>
    <xf numFmtId="0" fontId="1" fillId="13" borderId="1" xfId="0" applyFont="1" applyFill="1" applyBorder="1" applyAlignment="1" applyProtection="1">
      <alignment horizontal="center" vertical="center" wrapText="1"/>
      <protection locked="0"/>
    </xf>
    <xf numFmtId="2" fontId="16" fillId="2" borderId="1" xfId="0" applyNumberFormat="1" applyFont="1" applyFill="1" applyBorder="1" applyAlignment="1" applyProtection="1">
      <alignment horizontal="center" vertical="center" wrapText="1"/>
      <protection locked="0"/>
    </xf>
    <xf numFmtId="2" fontId="1" fillId="2" borderId="1" xfId="1" applyNumberFormat="1" applyFill="1" applyBorder="1" applyAlignment="1">
      <alignment horizontal="center" vertical="center" wrapText="1"/>
    </xf>
    <xf numFmtId="2" fontId="1" fillId="5" borderId="1" xfId="1" applyNumberFormat="1" applyFill="1" applyBorder="1" applyAlignment="1">
      <alignment horizontal="center" vertical="center" wrapText="1"/>
    </xf>
    <xf numFmtId="0" fontId="0" fillId="4" borderId="14" xfId="0" applyFill="1" applyBorder="1" applyAlignment="1" applyProtection="1">
      <alignment horizontal="center" vertical="center"/>
      <protection locked="0"/>
    </xf>
    <xf numFmtId="0" fontId="0" fillId="4" borderId="16" xfId="0" applyFill="1" applyBorder="1" applyAlignment="1" applyProtection="1">
      <alignment horizontal="center" vertical="center"/>
      <protection locked="0"/>
    </xf>
    <xf numFmtId="2" fontId="3" fillId="2" borderId="1" xfId="0" applyNumberFormat="1" applyFont="1" applyFill="1" applyBorder="1" applyAlignment="1" applyProtection="1">
      <alignment horizontal="center" vertical="center" wrapText="1"/>
      <protection locked="0"/>
    </xf>
    <xf numFmtId="2" fontId="3" fillId="5" borderId="1" xfId="0" applyNumberFormat="1" applyFont="1" applyFill="1" applyBorder="1" applyAlignment="1" applyProtection="1">
      <alignment horizontal="center" vertical="center" wrapText="1"/>
      <protection locked="0"/>
    </xf>
    <xf numFmtId="2" fontId="7" fillId="5" borderId="1" xfId="11" applyNumberFormat="1" applyFont="1" applyFill="1" applyBorder="1" applyAlignment="1">
      <alignment horizontal="center" vertical="center" wrapText="1"/>
    </xf>
    <xf numFmtId="2" fontId="1" fillId="5" borderId="1" xfId="10" applyNumberFormat="1" applyFill="1" applyBorder="1" applyAlignment="1">
      <alignment horizontal="center" vertical="center" wrapText="1"/>
    </xf>
    <xf numFmtId="2" fontId="7" fillId="5" borderId="1" xfId="4" applyNumberFormat="1" applyFont="1" applyFill="1" applyBorder="1" applyAlignment="1">
      <alignment horizontal="center" vertical="center" wrapText="1"/>
    </xf>
    <xf numFmtId="2" fontId="7" fillId="2" borderId="1" xfId="5" applyNumberFormat="1" applyFont="1" applyFill="1" applyBorder="1" applyAlignment="1">
      <alignment horizontal="center" vertical="center" wrapText="1"/>
    </xf>
    <xf numFmtId="2" fontId="7" fillId="5" borderId="1" xfId="5" applyNumberFormat="1" applyFont="1" applyFill="1" applyBorder="1" applyAlignment="1">
      <alignment horizontal="center" vertical="center" wrapText="1"/>
    </xf>
    <xf numFmtId="2" fontId="16" fillId="12" borderId="1" xfId="0" applyNumberFormat="1" applyFont="1" applyFill="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2" fontId="1" fillId="2" borderId="16" xfId="0" applyNumberFormat="1" applyFont="1" applyFill="1" applyBorder="1" applyAlignment="1" applyProtection="1">
      <alignment horizontal="center" vertical="center" wrapText="1"/>
      <protection locked="0"/>
    </xf>
    <xf numFmtId="2" fontId="1" fillId="5" borderId="16" xfId="0" applyNumberFormat="1" applyFont="1" applyFill="1" applyBorder="1" applyAlignment="1" applyProtection="1">
      <alignment horizontal="center" vertical="center" wrapText="1"/>
      <protection locked="0"/>
    </xf>
    <xf numFmtId="0" fontId="1" fillId="12" borderId="1" xfId="0" applyFont="1" applyFill="1" applyBorder="1" applyAlignment="1">
      <alignment horizontal="center" vertical="center"/>
    </xf>
    <xf numFmtId="0" fontId="3" fillId="0" borderId="1" xfId="0" applyFont="1" applyBorder="1" applyAlignment="1">
      <alignment horizontal="center" vertical="center"/>
    </xf>
    <xf numFmtId="0" fontId="1" fillId="5" borderId="11" xfId="0" applyFont="1" applyFill="1" applyBorder="1" applyAlignment="1">
      <alignment horizontal="center" vertical="center"/>
    </xf>
    <xf numFmtId="2" fontId="16" fillId="2" borderId="14" xfId="0" applyNumberFormat="1" applyFont="1" applyFill="1" applyBorder="1" applyAlignment="1" applyProtection="1">
      <alignment horizontal="center" vertical="center" wrapText="1"/>
      <protection locked="0"/>
    </xf>
    <xf numFmtId="0" fontId="0" fillId="4" borderId="2" xfId="0" applyFill="1" applyBorder="1" applyAlignment="1">
      <alignment horizontal="center" vertical="center"/>
    </xf>
    <xf numFmtId="0" fontId="0" fillId="2" borderId="14" xfId="0" applyFill="1" applyBorder="1" applyAlignment="1" applyProtection="1">
      <alignment horizontal="center" vertical="center"/>
      <protection locked="0"/>
    </xf>
    <xf numFmtId="0" fontId="0" fillId="0" borderId="2" xfId="0" applyBorder="1" applyAlignment="1">
      <alignment horizontal="center" vertical="center"/>
    </xf>
    <xf numFmtId="0" fontId="0" fillId="0" borderId="13" xfId="0" applyBorder="1" applyAlignment="1">
      <alignment horizontal="center" vertical="center"/>
    </xf>
    <xf numFmtId="0" fontId="1" fillId="8" borderId="1" xfId="0" applyFont="1" applyFill="1" applyBorder="1" applyAlignment="1" applyProtection="1">
      <alignment horizontal="center" vertical="center" wrapText="1"/>
      <protection locked="0"/>
    </xf>
    <xf numFmtId="2" fontId="1" fillId="2" borderId="1" xfId="0" applyNumberFormat="1" applyFont="1" applyFill="1" applyBorder="1" applyAlignment="1">
      <alignment horizontal="center" vertical="center" wrapText="1"/>
    </xf>
    <xf numFmtId="2" fontId="1" fillId="5" borderId="1" xfId="0" applyNumberFormat="1" applyFont="1" applyFill="1" applyBorder="1" applyAlignment="1">
      <alignment horizontal="center" vertical="center" wrapText="1"/>
    </xf>
    <xf numFmtId="0" fontId="1" fillId="4" borderId="1" xfId="0" applyFont="1" applyFill="1" applyBorder="1" applyAlignment="1" applyProtection="1">
      <alignment horizontal="center" vertical="center"/>
      <protection locked="0"/>
    </xf>
    <xf numFmtId="0" fontId="1" fillId="4" borderId="1" xfId="0" applyFont="1" applyFill="1" applyBorder="1" applyAlignment="1" applyProtection="1">
      <alignment horizontal="center" vertical="center" wrapText="1"/>
      <protection locked="0"/>
    </xf>
    <xf numFmtId="2" fontId="1" fillId="0" borderId="1" xfId="0" applyNumberFormat="1" applyFont="1" applyBorder="1" applyAlignment="1">
      <alignment horizontal="center" vertical="center" wrapText="1"/>
    </xf>
    <xf numFmtId="2" fontId="1" fillId="2" borderId="1" xfId="0" applyNumberFormat="1" applyFont="1" applyFill="1" applyBorder="1" applyAlignment="1" applyProtection="1">
      <alignment horizontal="center" vertical="center"/>
      <protection locked="0"/>
    </xf>
    <xf numFmtId="2" fontId="1" fillId="2" borderId="14" xfId="0" applyNumberFormat="1" applyFont="1" applyFill="1" applyBorder="1" applyAlignment="1" applyProtection="1">
      <alignment horizontal="center" vertical="center" wrapText="1"/>
      <protection locked="0"/>
    </xf>
    <xf numFmtId="2" fontId="1" fillId="5" borderId="14" xfId="0" applyNumberFormat="1" applyFont="1" applyFill="1" applyBorder="1" applyAlignment="1" applyProtection="1">
      <alignment horizontal="center" vertical="center" wrapText="1"/>
      <protection locked="0"/>
    </xf>
    <xf numFmtId="0" fontId="1" fillId="0" borderId="14" xfId="0" applyFont="1" applyBorder="1" applyAlignment="1">
      <alignment horizontal="center" vertical="center" wrapText="1"/>
    </xf>
    <xf numFmtId="0" fontId="1" fillId="5" borderId="14"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0" fillId="2" borderId="16" xfId="0" applyFill="1" applyBorder="1" applyAlignment="1" applyProtection="1">
      <alignment horizontal="center" vertical="center"/>
      <protection locked="0"/>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1"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wrapText="1"/>
    </xf>
    <xf numFmtId="0" fontId="12" fillId="0" borderId="2" xfId="0" applyFont="1" applyBorder="1" applyAlignment="1">
      <alignment vertical="center"/>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2" fillId="0" borderId="0" xfId="0" applyFont="1" applyAlignment="1">
      <alignment horizontal="center" vertical="center"/>
    </xf>
    <xf numFmtId="0" fontId="0" fillId="0" borderId="0" xfId="0" applyAlignment="1">
      <alignment vertical="center"/>
    </xf>
    <xf numFmtId="168" fontId="0" fillId="0" borderId="0" xfId="0" applyNumberFormat="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9" fillId="0" borderId="0" xfId="0" applyFont="1" applyAlignment="1">
      <alignment horizontal="center" vertical="center" wrapText="1"/>
    </xf>
    <xf numFmtId="0" fontId="0" fillId="0" borderId="0" xfId="0" applyAlignment="1">
      <alignment horizontal="left" vertical="center" wrapText="1"/>
    </xf>
    <xf numFmtId="0" fontId="18" fillId="14" borderId="18" xfId="0" applyFont="1" applyFill="1" applyBorder="1" applyAlignment="1">
      <alignment horizontal="center" vertical="center"/>
    </xf>
    <xf numFmtId="168" fontId="18" fillId="14" borderId="18" xfId="0" applyNumberFormat="1" applyFont="1" applyFill="1" applyBorder="1" applyAlignment="1">
      <alignment horizontal="left" vertical="center"/>
    </xf>
    <xf numFmtId="0" fontId="18" fillId="14" borderId="19" xfId="0" applyFont="1" applyFill="1" applyBorder="1" applyAlignment="1">
      <alignment horizontal="center" vertical="center" wrapText="1"/>
    </xf>
    <xf numFmtId="0" fontId="18" fillId="14" borderId="20" xfId="0" applyFont="1" applyFill="1" applyBorder="1" applyAlignment="1">
      <alignment horizontal="left" vertical="center"/>
    </xf>
    <xf numFmtId="0" fontId="18" fillId="14" borderId="21" xfId="0" applyFont="1" applyFill="1" applyBorder="1" applyAlignment="1">
      <alignment horizontal="center" vertical="center"/>
    </xf>
    <xf numFmtId="0" fontId="0" fillId="0" borderId="16" xfId="0" applyBorder="1" applyAlignment="1">
      <alignment horizontal="center" vertical="center"/>
    </xf>
    <xf numFmtId="168" fontId="0" fillId="0" borderId="16" xfId="0" applyNumberFormat="1" applyBorder="1" applyAlignment="1">
      <alignment horizontal="left" vertical="center"/>
    </xf>
    <xf numFmtId="0" fontId="0" fillId="0" borderId="16" xfId="0" applyBorder="1" applyAlignment="1">
      <alignment vertical="center" wrapText="1"/>
    </xf>
    <xf numFmtId="0" fontId="0" fillId="0" borderId="22" xfId="0" applyBorder="1" applyAlignment="1">
      <alignment horizontal="left" vertical="center"/>
    </xf>
    <xf numFmtId="0" fontId="0" fillId="0" borderId="2" xfId="0" applyBorder="1" applyAlignment="1">
      <alignment vertical="center"/>
    </xf>
    <xf numFmtId="0" fontId="0" fillId="0" borderId="1" xfId="0" applyBorder="1" applyAlignment="1">
      <alignment vertical="center" wrapText="1"/>
    </xf>
    <xf numFmtId="0" fontId="0" fillId="0" borderId="11" xfId="0" applyBorder="1" applyAlignment="1">
      <alignment horizontal="left" vertical="center"/>
    </xf>
    <xf numFmtId="168" fontId="0" fillId="0" borderId="1" xfId="0" applyNumberFormat="1" applyBorder="1" applyAlignment="1">
      <alignment horizontal="left" vertical="center"/>
    </xf>
    <xf numFmtId="0" fontId="0" fillId="13" borderId="2" xfId="0" applyFill="1" applyBorder="1" applyAlignment="1">
      <alignment vertical="center"/>
    </xf>
    <xf numFmtId="0" fontId="0" fillId="8" borderId="2" xfId="0" applyFill="1" applyBorder="1" applyAlignment="1">
      <alignment vertical="center"/>
    </xf>
    <xf numFmtId="0" fontId="0" fillId="9" borderId="2" xfId="0" applyFill="1" applyBorder="1" applyAlignment="1">
      <alignment vertical="center"/>
    </xf>
    <xf numFmtId="0" fontId="0" fillId="10" borderId="2" xfId="0" applyFill="1" applyBorder="1" applyAlignment="1">
      <alignment vertical="center"/>
    </xf>
    <xf numFmtId="0" fontId="0" fillId="15" borderId="2" xfId="0" applyFill="1" applyBorder="1" applyAlignment="1">
      <alignment vertical="center"/>
    </xf>
    <xf numFmtId="0" fontId="0" fillId="7" borderId="2" xfId="0" applyFill="1" applyBorder="1" applyAlignment="1">
      <alignment vertical="center"/>
    </xf>
    <xf numFmtId="0" fontId="0" fillId="12" borderId="2" xfId="0" applyFill="1" applyBorder="1" applyAlignment="1">
      <alignment vertical="center"/>
    </xf>
    <xf numFmtId="0" fontId="0" fillId="0" borderId="1" xfId="0" applyBorder="1" applyAlignment="1">
      <alignment horizontal="left" vertical="center"/>
    </xf>
    <xf numFmtId="2" fontId="1" fillId="2" borderId="1" xfId="0" quotePrefix="1" applyNumberFormat="1" applyFont="1" applyFill="1" applyBorder="1" applyAlignment="1" applyProtection="1">
      <alignment horizontal="left" vertical="top" wrapText="1"/>
      <protection locked="0"/>
    </xf>
    <xf numFmtId="0" fontId="2" fillId="0" borderId="1" xfId="0" applyFont="1" applyBorder="1" applyAlignment="1" applyProtection="1">
      <alignment horizontal="center" vertical="center"/>
      <protection locked="0"/>
    </xf>
    <xf numFmtId="0" fontId="1" fillId="12" borderId="1" xfId="0" applyFont="1" applyFill="1" applyBorder="1" applyAlignment="1" applyProtection="1">
      <alignment horizontal="center" vertical="center"/>
      <protection locked="0"/>
    </xf>
    <xf numFmtId="2" fontId="1" fillId="2" borderId="1" xfId="0" applyNumberFormat="1" applyFont="1" applyFill="1" applyBorder="1" applyAlignment="1" applyProtection="1">
      <alignment horizontal="center" vertical="center" wrapText="1"/>
      <protection locked="0"/>
    </xf>
    <xf numFmtId="2" fontId="1" fillId="2" borderId="1" xfId="1" applyNumberFormat="1" applyFill="1" applyBorder="1" applyAlignment="1">
      <alignment horizontal="center" vertical="center" wrapText="1"/>
    </xf>
    <xf numFmtId="2" fontId="7" fillId="2" borderId="1" xfId="11" applyNumberFormat="1" applyFont="1" applyFill="1" applyBorder="1" applyAlignment="1">
      <alignment horizontal="center" vertical="center" wrapText="1"/>
    </xf>
    <xf numFmtId="2" fontId="1" fillId="2" borderId="1" xfId="10" applyNumberFormat="1" applyFill="1" applyBorder="1" applyAlignment="1">
      <alignment horizontal="center" vertical="center" wrapText="1"/>
    </xf>
    <xf numFmtId="2" fontId="7" fillId="2" borderId="1" xfId="4" applyNumberFormat="1" applyFont="1" applyFill="1" applyBorder="1" applyAlignment="1">
      <alignment horizontal="center" vertical="center" wrapText="1"/>
    </xf>
    <xf numFmtId="2" fontId="7" fillId="2" borderId="1" xfId="5" applyNumberFormat="1" applyFont="1" applyFill="1" applyBorder="1" applyAlignment="1">
      <alignment horizontal="center" vertical="center" wrapText="1"/>
    </xf>
    <xf numFmtId="2" fontId="1" fillId="12" borderId="1" xfId="0" applyNumberFormat="1" applyFont="1" applyFill="1" applyBorder="1" applyAlignment="1" applyProtection="1">
      <alignment horizontal="center" vertical="center" wrapText="1"/>
      <protection locked="0"/>
    </xf>
    <xf numFmtId="2" fontId="16" fillId="12" borderId="1" xfId="0" applyNumberFormat="1" applyFont="1" applyFill="1" applyBorder="1" applyAlignment="1" applyProtection="1">
      <alignment horizontal="center" vertical="center" wrapText="1"/>
      <protection locked="0"/>
    </xf>
    <xf numFmtId="2" fontId="16" fillId="2" borderId="1" xfId="0" applyNumberFormat="1"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protection locked="0"/>
    </xf>
    <xf numFmtId="0" fontId="0" fillId="4" borderId="14" xfId="0" applyFill="1" applyBorder="1" applyAlignment="1" applyProtection="1">
      <alignment horizontal="center" vertical="center"/>
      <protection locked="0"/>
    </xf>
    <xf numFmtId="0" fontId="0" fillId="4" borderId="16" xfId="0" applyFill="1" applyBorder="1" applyAlignment="1" applyProtection="1">
      <alignment horizontal="center" vertical="center"/>
      <protection locked="0"/>
    </xf>
    <xf numFmtId="0" fontId="0" fillId="4" borderId="14" xfId="0" applyFill="1" applyBorder="1" applyAlignment="1" applyProtection="1">
      <alignment horizontal="center" vertical="center" wrapText="1"/>
      <protection locked="0"/>
    </xf>
    <xf numFmtId="0" fontId="2" fillId="0" borderId="1" xfId="0" applyFont="1" applyBorder="1" applyAlignment="1" applyProtection="1">
      <alignment horizontal="center" vertical="top"/>
      <protection locked="0"/>
    </xf>
    <xf numFmtId="2" fontId="1" fillId="0" borderId="1" xfId="1" applyNumberFormat="1" applyBorder="1" applyAlignment="1">
      <alignment horizontal="left" vertical="top" wrapText="1"/>
    </xf>
    <xf numFmtId="2" fontId="1" fillId="0" borderId="1" xfId="0" applyNumberFormat="1" applyFont="1" applyBorder="1" applyAlignment="1" applyProtection="1">
      <alignment horizontal="left" vertical="top" wrapText="1"/>
      <protection locked="0"/>
    </xf>
    <xf numFmtId="49" fontId="1" fillId="0" borderId="1" xfId="0" applyNumberFormat="1" applyFont="1" applyBorder="1" applyAlignment="1" applyProtection="1">
      <alignment horizontal="left" vertical="top" wrapText="1"/>
      <protection locked="0"/>
    </xf>
    <xf numFmtId="49" fontId="0" fillId="0" borderId="1" xfId="0" applyNumberForma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2" fillId="4" borderId="1" xfId="0" applyFont="1" applyFill="1" applyBorder="1" applyAlignment="1" applyProtection="1">
      <alignment horizontal="center" vertical="top"/>
      <protection locked="0"/>
    </xf>
    <xf numFmtId="49" fontId="1" fillId="4" borderId="1" xfId="0" applyNumberFormat="1" applyFont="1" applyFill="1" applyBorder="1" applyAlignment="1" applyProtection="1">
      <alignment horizontal="left" vertical="top" wrapText="1"/>
      <protection locked="0"/>
    </xf>
    <xf numFmtId="49" fontId="0" fillId="4" borderId="1" xfId="0" applyNumberFormat="1" applyFill="1" applyBorder="1" applyAlignment="1" applyProtection="1">
      <alignment horizontal="left" vertical="top" wrapText="1"/>
      <protection locked="0"/>
    </xf>
    <xf numFmtId="0" fontId="1" fillId="4" borderId="1" xfId="0" applyFont="1" applyFill="1" applyBorder="1" applyAlignment="1" applyProtection="1">
      <alignment horizontal="left" vertical="top" wrapText="1"/>
      <protection locked="0"/>
    </xf>
    <xf numFmtId="49" fontId="0" fillId="0" borderId="1" xfId="0" applyNumberFormat="1" applyBorder="1" applyAlignment="1">
      <alignment horizontal="center" vertical="top"/>
    </xf>
    <xf numFmtId="49" fontId="5" fillId="0" borderId="1" xfId="0" applyNumberFormat="1" applyFont="1" applyBorder="1" applyAlignment="1">
      <alignment horizontal="center" vertical="top"/>
    </xf>
    <xf numFmtId="0" fontId="11" fillId="0" borderId="1" xfId="0" applyFont="1" applyBorder="1" applyAlignment="1" applyProtection="1">
      <alignment horizontal="center" vertical="top"/>
      <protection locked="0"/>
    </xf>
    <xf numFmtId="2" fontId="12" fillId="0" borderId="1" xfId="0" applyNumberFormat="1" applyFont="1" applyBorder="1" applyAlignment="1" applyProtection="1">
      <alignment horizontal="left" vertical="top" wrapText="1"/>
      <protection locked="0"/>
    </xf>
    <xf numFmtId="2" fontId="15" fillId="0" borderId="1" xfId="11" applyNumberFormat="1" applyBorder="1" applyAlignment="1">
      <alignment horizontal="left" vertical="top" wrapText="1"/>
    </xf>
    <xf numFmtId="2" fontId="12" fillId="0" borderId="1" xfId="10" applyNumberFormat="1" applyFont="1" applyBorder="1" applyAlignment="1">
      <alignment horizontal="left" vertical="top" wrapText="1"/>
    </xf>
    <xf numFmtId="2" fontId="15" fillId="0" borderId="1" xfId="4" applyNumberFormat="1" applyBorder="1" applyAlignment="1">
      <alignment horizontal="left" vertical="top" wrapText="1"/>
    </xf>
    <xf numFmtId="2" fontId="15" fillId="0" borderId="1" xfId="5" applyNumberFormat="1" applyBorder="1" applyAlignment="1">
      <alignment horizontal="left" vertical="top" wrapText="1"/>
    </xf>
    <xf numFmtId="2" fontId="12" fillId="0" borderId="1" xfId="1" applyNumberFormat="1" applyFont="1" applyBorder="1" applyAlignment="1">
      <alignment horizontal="left" vertical="top" wrapText="1"/>
    </xf>
    <xf numFmtId="0" fontId="0" fillId="0" borderId="2" xfId="0" applyBorder="1" applyAlignment="1">
      <alignment horizontal="center" vertical="center" wrapText="1"/>
    </xf>
    <xf numFmtId="2" fontId="14" fillId="2" borderId="1" xfId="0" applyNumberFormat="1" applyFont="1" applyFill="1" applyBorder="1" applyAlignment="1" applyProtection="1">
      <alignment horizontal="left" vertical="center" wrapText="1"/>
      <protection locked="0"/>
    </xf>
    <xf numFmtId="2" fontId="14" fillId="2" borderId="14" xfId="0" applyNumberFormat="1" applyFont="1" applyFill="1" applyBorder="1" applyAlignment="1" applyProtection="1">
      <alignment horizontal="left" vertical="center" wrapText="1"/>
      <protection locked="0"/>
    </xf>
    <xf numFmtId="2" fontId="14" fillId="2" borderId="2" xfId="0" applyNumberFormat="1" applyFont="1" applyFill="1" applyBorder="1" applyAlignment="1" applyProtection="1">
      <alignment horizontal="left" vertical="center" wrapText="1"/>
      <protection locked="0"/>
    </xf>
    <xf numFmtId="2" fontId="16" fillId="2" borderId="1" xfId="0" applyNumberFormat="1" applyFont="1" applyFill="1" applyBorder="1" applyAlignment="1" applyProtection="1">
      <alignment horizontal="left" vertical="center" wrapText="1"/>
      <protection locked="0"/>
    </xf>
    <xf numFmtId="0" fontId="12" fillId="2" borderId="14" xfId="0" applyFont="1" applyFill="1" applyBorder="1" applyAlignment="1" applyProtection="1">
      <alignment horizontal="left" vertical="center" wrapText="1"/>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4" fillId="2" borderId="1" xfId="0" applyFont="1" applyFill="1" applyBorder="1" applyAlignment="1" applyProtection="1">
      <alignment horizontal="left" vertical="center" wrapText="1"/>
      <protection locked="0"/>
    </xf>
    <xf numFmtId="0" fontId="14" fillId="2" borderId="1"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2" xfId="0" applyFont="1" applyFill="1" applyBorder="1" applyAlignment="1" applyProtection="1">
      <alignment horizontal="left" vertical="center" wrapText="1"/>
      <protection locked="0"/>
    </xf>
    <xf numFmtId="0" fontId="14" fillId="2" borderId="2" xfId="0" applyFont="1" applyFill="1" applyBorder="1" applyAlignment="1" applyProtection="1">
      <alignment horizontal="left" vertical="center"/>
      <protection locked="0"/>
    </xf>
    <xf numFmtId="0" fontId="17" fillId="2" borderId="1" xfId="0" applyFont="1" applyFill="1" applyBorder="1" applyAlignment="1" applyProtection="1">
      <alignment horizontal="left" vertical="center" wrapText="1"/>
      <protection locked="0"/>
    </xf>
    <xf numFmtId="0" fontId="17" fillId="2" borderId="1" xfId="0" applyFont="1" applyFill="1" applyBorder="1" applyAlignment="1" applyProtection="1">
      <alignment horizontal="left" vertical="center"/>
      <protection locked="0"/>
    </xf>
    <xf numFmtId="0" fontId="5" fillId="0" borderId="1" xfId="0" applyFont="1" applyBorder="1" applyAlignment="1" applyProtection="1">
      <alignment horizontal="center" vertical="top"/>
      <protection locked="0"/>
    </xf>
    <xf numFmtId="2" fontId="10" fillId="0" borderId="1" xfId="5" applyNumberFormat="1" applyFont="1" applyBorder="1" applyAlignment="1">
      <alignment horizontal="left" vertical="top" wrapText="1"/>
    </xf>
    <xf numFmtId="2" fontId="0" fillId="0" borderId="1" xfId="0" applyNumberFormat="1" applyBorder="1" applyAlignment="1" applyProtection="1">
      <alignment horizontal="left" vertical="top" wrapText="1"/>
      <protection locked="0"/>
    </xf>
    <xf numFmtId="0" fontId="9" fillId="0" borderId="1" xfId="0" applyFont="1" applyBorder="1" applyAlignment="1" applyProtection="1">
      <alignment horizontal="center" vertical="top"/>
      <protection locked="0"/>
    </xf>
    <xf numFmtId="0" fontId="2" fillId="3" borderId="1" xfId="0" applyFont="1" applyFill="1" applyBorder="1" applyAlignment="1" applyProtection="1">
      <alignment horizontal="center" vertical="top"/>
      <protection locked="0"/>
    </xf>
    <xf numFmtId="0" fontId="9" fillId="0" borderId="3" xfId="0" applyFont="1" applyBorder="1" applyAlignment="1" applyProtection="1">
      <alignment horizontal="center" vertical="top"/>
      <protection locked="0"/>
    </xf>
    <xf numFmtId="0" fontId="9" fillId="0" borderId="4" xfId="0" applyFont="1" applyBorder="1" applyAlignment="1" applyProtection="1">
      <alignment horizontal="center" vertical="top"/>
      <protection locked="0"/>
    </xf>
    <xf numFmtId="0" fontId="9" fillId="0" borderId="5" xfId="0" applyFont="1" applyBorder="1" applyAlignment="1" applyProtection="1">
      <alignment horizontal="center" vertical="top"/>
      <protection locked="0"/>
    </xf>
    <xf numFmtId="0" fontId="9" fillId="0" borderId="11" xfId="0" applyFont="1" applyBorder="1" applyAlignment="1" applyProtection="1">
      <alignment horizontal="center" vertical="top"/>
      <protection locked="0"/>
    </xf>
    <xf numFmtId="0" fontId="2" fillId="0" borderId="1" xfId="0" applyFont="1" applyBorder="1" applyAlignment="1" applyProtection="1">
      <alignment horizontal="center" vertical="top" wrapText="1"/>
      <protection locked="0"/>
    </xf>
    <xf numFmtId="0" fontId="9" fillId="0" borderId="0" xfId="0" applyFont="1" applyAlignment="1" applyProtection="1">
      <alignment horizontal="center" vertical="top"/>
      <protection locked="0"/>
    </xf>
    <xf numFmtId="0" fontId="2" fillId="2" borderId="2" xfId="0" applyFont="1" applyFill="1" applyBorder="1" applyAlignment="1" applyProtection="1">
      <alignment horizontal="left" vertical="top"/>
      <protection locked="0"/>
    </xf>
    <xf numFmtId="0" fontId="9" fillId="2" borderId="2" xfId="0" applyFont="1" applyFill="1" applyBorder="1" applyAlignment="1" applyProtection="1">
      <alignment horizontal="center" vertical="top"/>
      <protection locked="0"/>
    </xf>
    <xf numFmtId="0" fontId="0" fillId="4" borderId="3" xfId="0" applyFill="1" applyBorder="1" applyAlignment="1" applyProtection="1">
      <alignment horizontal="center" vertical="top" wrapText="1"/>
      <protection locked="0"/>
    </xf>
    <xf numFmtId="0" fontId="0" fillId="4" borderId="4" xfId="0" applyFill="1" applyBorder="1" applyAlignment="1" applyProtection="1">
      <alignment horizontal="center" vertical="top"/>
      <protection locked="0"/>
    </xf>
    <xf numFmtId="0" fontId="0" fillId="4" borderId="5" xfId="0" applyFill="1" applyBorder="1" applyAlignment="1" applyProtection="1">
      <alignment horizontal="center" vertical="top"/>
      <protection locked="0"/>
    </xf>
    <xf numFmtId="0" fontId="2" fillId="2" borderId="2" xfId="0" applyFont="1" applyFill="1" applyBorder="1" applyAlignment="1" applyProtection="1">
      <alignment horizontal="center" vertical="top"/>
      <protection locked="0"/>
    </xf>
    <xf numFmtId="0" fontId="2" fillId="0" borderId="2" xfId="0" applyFont="1" applyBorder="1" applyAlignment="1" applyProtection="1">
      <alignment horizontal="center" vertical="top"/>
      <protection locked="0"/>
    </xf>
    <xf numFmtId="0" fontId="1" fillId="0" borderId="2" xfId="0" applyFont="1" applyBorder="1" applyAlignment="1" applyProtection="1">
      <alignment horizontal="left" vertical="top" wrapText="1"/>
      <protection locked="0"/>
    </xf>
    <xf numFmtId="49" fontId="0" fillId="0" borderId="2" xfId="0" applyNumberFormat="1" applyBorder="1" applyAlignment="1" applyProtection="1">
      <alignment horizontal="left" vertical="top" wrapText="1"/>
      <protection locked="0"/>
    </xf>
    <xf numFmtId="2" fontId="1" fillId="0" borderId="2" xfId="1" applyNumberFormat="1" applyBorder="1" applyAlignment="1">
      <alignment horizontal="left" vertical="top" wrapText="1"/>
    </xf>
    <xf numFmtId="2" fontId="1" fillId="0" borderId="2" xfId="0" applyNumberFormat="1" applyFont="1" applyBorder="1" applyAlignment="1" applyProtection="1">
      <alignment horizontal="left" vertical="top" wrapText="1"/>
      <protection locked="0"/>
    </xf>
    <xf numFmtId="2" fontId="1" fillId="0" borderId="6" xfId="0" applyNumberFormat="1" applyFont="1" applyBorder="1" applyAlignment="1" applyProtection="1">
      <alignment horizontal="left" vertical="top" wrapText="1"/>
      <protection locked="0"/>
    </xf>
    <xf numFmtId="2" fontId="1" fillId="0" borderId="7" xfId="0" applyNumberFormat="1" applyFont="1" applyBorder="1" applyAlignment="1" applyProtection="1">
      <alignment horizontal="left" vertical="top" wrapText="1"/>
      <protection locked="0"/>
    </xf>
    <xf numFmtId="2" fontId="1" fillId="0" borderId="8" xfId="0" applyNumberFormat="1" applyFont="1" applyBorder="1" applyAlignment="1" applyProtection="1">
      <alignment horizontal="left" vertical="top" wrapText="1"/>
      <protection locked="0"/>
    </xf>
    <xf numFmtId="2" fontId="7" fillId="2" borderId="2" xfId="11" applyNumberFormat="1" applyFont="1" applyFill="1" applyBorder="1" applyAlignment="1">
      <alignment horizontal="left" vertical="top" wrapText="1"/>
    </xf>
    <xf numFmtId="2" fontId="1" fillId="2" borderId="2" xfId="10" applyNumberFormat="1" applyFill="1" applyBorder="1" applyAlignment="1">
      <alignment horizontal="left" vertical="top" wrapText="1"/>
    </xf>
    <xf numFmtId="2" fontId="7" fillId="2" borderId="2" xfId="12" applyNumberFormat="1" applyFont="1" applyFill="1" applyBorder="1" applyAlignment="1">
      <alignment horizontal="left" vertical="top" wrapText="1"/>
    </xf>
    <xf numFmtId="2" fontId="7" fillId="2" borderId="2" xfId="4" applyNumberFormat="1" applyFont="1" applyFill="1" applyBorder="1" applyAlignment="1">
      <alignment horizontal="left" vertical="top" wrapText="1"/>
    </xf>
    <xf numFmtId="2" fontId="7" fillId="2" borderId="2" xfId="5" applyNumberFormat="1" applyFont="1" applyFill="1" applyBorder="1" applyAlignment="1">
      <alignment horizontal="left" vertical="top" wrapText="1"/>
    </xf>
    <xf numFmtId="2" fontId="1" fillId="2" borderId="2" xfId="1" applyNumberFormat="1" applyFill="1" applyBorder="1" applyAlignment="1">
      <alignment horizontal="left" vertical="top" wrapText="1"/>
    </xf>
    <xf numFmtId="2" fontId="1" fillId="2" borderId="2" xfId="0" applyNumberFormat="1" applyFont="1" applyFill="1" applyBorder="1" applyAlignment="1" applyProtection="1">
      <alignment horizontal="left" vertical="top" wrapText="1"/>
      <protection locked="0"/>
    </xf>
    <xf numFmtId="2" fontId="7" fillId="2" borderId="2" xfId="9" applyNumberFormat="1" applyFont="1" applyFill="1" applyBorder="1" applyAlignment="1">
      <alignment horizontal="left" vertical="top" wrapText="1"/>
    </xf>
    <xf numFmtId="2" fontId="3" fillId="2" borderId="2" xfId="0" applyNumberFormat="1" applyFont="1" applyFill="1" applyBorder="1" applyAlignment="1" applyProtection="1">
      <alignment horizontal="left" vertical="top" wrapText="1"/>
      <protection locked="0"/>
    </xf>
    <xf numFmtId="49" fontId="1" fillId="0" borderId="2" xfId="0" applyNumberFormat="1" applyFont="1" applyBorder="1" applyAlignment="1" applyProtection="1">
      <alignment horizontal="left" vertical="top" wrapText="1"/>
      <protection locked="0"/>
    </xf>
    <xf numFmtId="0" fontId="0" fillId="0" borderId="2" xfId="0" applyBorder="1" applyAlignment="1">
      <alignment horizontal="left" vertical="top" wrapText="1"/>
    </xf>
    <xf numFmtId="2" fontId="1" fillId="2" borderId="6" xfId="0" applyNumberFormat="1" applyFont="1" applyFill="1" applyBorder="1" applyAlignment="1" applyProtection="1">
      <alignment horizontal="left" vertical="top" wrapText="1"/>
      <protection locked="0"/>
    </xf>
    <xf numFmtId="2" fontId="1" fillId="2" borderId="7" xfId="0" applyNumberFormat="1" applyFont="1" applyFill="1" applyBorder="1" applyAlignment="1" applyProtection="1">
      <alignment horizontal="left" vertical="top" wrapText="1"/>
      <protection locked="0"/>
    </xf>
    <xf numFmtId="2" fontId="1" fillId="2" borderId="8" xfId="0" applyNumberFormat="1" applyFont="1" applyFill="1" applyBorder="1" applyAlignment="1" applyProtection="1">
      <alignment horizontal="left" vertical="top" wrapText="1"/>
      <protection locked="0"/>
    </xf>
    <xf numFmtId="2" fontId="1" fillId="2" borderId="6" xfId="1" applyNumberFormat="1" applyFill="1" applyBorder="1" applyAlignment="1">
      <alignment horizontal="left" vertical="top" wrapText="1"/>
    </xf>
    <xf numFmtId="2" fontId="1" fillId="2" borderId="7" xfId="1" applyNumberFormat="1" applyFill="1" applyBorder="1" applyAlignment="1">
      <alignment horizontal="left" vertical="top" wrapText="1"/>
    </xf>
    <xf numFmtId="2" fontId="1" fillId="2" borderId="8" xfId="1" applyNumberFormat="1" applyFill="1" applyBorder="1" applyAlignment="1">
      <alignment horizontal="left" vertical="top" wrapText="1"/>
    </xf>
    <xf numFmtId="2" fontId="7" fillId="2" borderId="6" xfId="5" applyNumberFormat="1" applyFont="1" applyFill="1" applyBorder="1" applyAlignment="1">
      <alignment horizontal="left" vertical="top" wrapText="1"/>
    </xf>
    <xf numFmtId="2" fontId="7" fillId="2" borderId="7" xfId="5" applyNumberFormat="1" applyFont="1" applyFill="1" applyBorder="1" applyAlignment="1">
      <alignment horizontal="left" vertical="top" wrapText="1"/>
    </xf>
    <xf numFmtId="49" fontId="0" fillId="0" borderId="2" xfId="0" applyNumberFormat="1" applyBorder="1" applyAlignment="1">
      <alignment horizontal="center" vertical="top"/>
    </xf>
    <xf numFmtId="49" fontId="5" fillId="0" borderId="2" xfId="0" applyNumberFormat="1" applyFont="1" applyBorder="1" applyAlignment="1">
      <alignment horizontal="center" vertical="top"/>
    </xf>
    <xf numFmtId="0" fontId="2" fillId="0" borderId="3" xfId="0" applyFont="1" applyBorder="1" applyAlignment="1" applyProtection="1">
      <alignment horizontal="center" vertical="top"/>
      <protection locked="0"/>
    </xf>
    <xf numFmtId="0" fontId="2" fillId="0" borderId="4" xfId="0" applyFont="1" applyBorder="1" applyAlignment="1" applyProtection="1">
      <alignment horizontal="center" vertical="top"/>
      <protection locked="0"/>
    </xf>
    <xf numFmtId="0" fontId="2" fillId="0" borderId="5" xfId="0" applyFont="1" applyBorder="1" applyAlignment="1" applyProtection="1">
      <alignment horizontal="center" vertical="top"/>
      <protection locked="0"/>
    </xf>
    <xf numFmtId="0" fontId="0" fillId="0" borderId="0" xfId="0" applyAlignment="1">
      <alignment horizontal="left" vertical="top" wrapText="1"/>
    </xf>
    <xf numFmtId="0" fontId="0" fillId="0" borderId="0" xfId="0" applyAlignment="1" applyProtection="1">
      <alignment horizontal="left" vertical="top" wrapText="1"/>
      <protection locked="0"/>
    </xf>
    <xf numFmtId="0" fontId="2" fillId="2" borderId="1" xfId="0" applyFont="1" applyFill="1" applyBorder="1" applyAlignment="1" applyProtection="1">
      <alignment horizontal="left" vertical="top"/>
      <protection locked="0"/>
    </xf>
    <xf numFmtId="0" fontId="2" fillId="2" borderId="1" xfId="0" applyFont="1" applyFill="1" applyBorder="1" applyAlignment="1" applyProtection="1">
      <alignment horizontal="center" vertical="top"/>
      <protection locked="0"/>
    </xf>
  </cellXfs>
  <cellStyles count="13">
    <cellStyle name="Normal" xfId="0" builtinId="0"/>
    <cellStyle name="Normal 2" xfId="6" xr:uid="{00000000-0005-0000-0000-000036000000}"/>
    <cellStyle name="Normal_PC monitoring" xfId="8" xr:uid="{00000000-0005-0000-0000-000038000000}"/>
    <cellStyle name="Normal_Sheet2" xfId="9" xr:uid="{00000000-0005-0000-0000-000039000000}"/>
    <cellStyle name="Normal_Sheet2_2" xfId="11" xr:uid="{00000000-0005-0000-0000-00003B000000}"/>
    <cellStyle name="Normal_Sheet2_3" xfId="10" xr:uid="{00000000-0005-0000-0000-00003A000000}"/>
    <cellStyle name="Normal_Sheet2_4" xfId="12" xr:uid="{00000000-0005-0000-0000-00003C000000}"/>
    <cellStyle name="Normal_Sheet2_5" xfId="4" xr:uid="{00000000-0005-0000-0000-000034000000}"/>
    <cellStyle name="Normal_Sheet2_6" xfId="5" xr:uid="{00000000-0005-0000-0000-000035000000}"/>
    <cellStyle name="Normal_Sheet2_7" xfId="1" xr:uid="{00000000-0005-0000-0000-000031000000}"/>
    <cellStyle name="Normal_Sheet2_8" xfId="3" xr:uid="{00000000-0005-0000-0000-000033000000}"/>
    <cellStyle name="Normal_Sheet2_9" xfId="2" xr:uid="{00000000-0005-0000-0000-000032000000}"/>
    <cellStyle name="常规 4" xfId="7" xr:uid="{00000000-0005-0000-0000-00003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C3C3C"/>
    </indexedColors>
    <mruColors>
      <color rgb="FFFF99CC"/>
      <color rgb="FFFFCC99"/>
      <color rgb="FF0000FF"/>
      <color rgb="FFFFFFFF"/>
      <color rgb="FF000000"/>
      <color rgb="FFFFD966"/>
      <color rgb="FFFFFF00"/>
      <color rgb="FFE2EFDA"/>
      <color rgb="FF43D39B"/>
      <color rgb="FFB464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7"/>
  <sheetViews>
    <sheetView tabSelected="1" workbookViewId="0">
      <selection activeCell="B3" sqref="B3"/>
    </sheetView>
  </sheetViews>
  <sheetFormatPr defaultColWidth="9.109375" defaultRowHeight="13.2"/>
  <cols>
    <col min="1" max="1" width="9.109375" style="461"/>
    <col min="2" max="2" width="20.6640625" style="365" customWidth="1"/>
    <col min="3" max="3" width="12.6640625" style="462" customWidth="1"/>
    <col min="4" max="4" width="61.109375" style="463" customWidth="1"/>
    <col min="5" max="5" width="13.88671875" style="464" customWidth="1"/>
    <col min="6" max="6" width="23.88671875" style="461" customWidth="1"/>
    <col min="7" max="16384" width="9.109375" style="461"/>
  </cols>
  <sheetData>
    <row r="1" spans="2:6" ht="15.6">
      <c r="D1" s="465" t="s">
        <v>0</v>
      </c>
    </row>
    <row r="2" spans="2:6" ht="15">
      <c r="B2" s="460" t="s">
        <v>1</v>
      </c>
      <c r="D2" s="466"/>
    </row>
    <row r="3" spans="2:6" ht="15">
      <c r="B3" s="460">
        <v>12</v>
      </c>
    </row>
    <row r="5" spans="2:6" s="460" customFormat="1" ht="15.6">
      <c r="B5" s="467" t="s">
        <v>2</v>
      </c>
      <c r="C5" s="468" t="s">
        <v>3</v>
      </c>
      <c r="D5" s="469" t="s">
        <v>4</v>
      </c>
      <c r="E5" s="470" t="s">
        <v>5</v>
      </c>
      <c r="F5" s="471" t="s">
        <v>6</v>
      </c>
    </row>
    <row r="6" spans="2:6">
      <c r="B6" s="472">
        <v>1</v>
      </c>
      <c r="C6" s="473">
        <v>41656</v>
      </c>
      <c r="D6" s="474" t="s">
        <v>7</v>
      </c>
      <c r="E6" s="475" t="s">
        <v>8</v>
      </c>
      <c r="F6" s="476"/>
    </row>
    <row r="7" spans="2:6">
      <c r="B7" s="364">
        <v>2</v>
      </c>
      <c r="C7" s="473">
        <v>41674</v>
      </c>
      <c r="D7" s="477" t="s">
        <v>9</v>
      </c>
      <c r="E7" s="475" t="s">
        <v>8</v>
      </c>
      <c r="F7" s="476"/>
    </row>
    <row r="8" spans="2:6" ht="66">
      <c r="B8" s="364">
        <v>3</v>
      </c>
      <c r="C8" s="473">
        <v>42040</v>
      </c>
      <c r="D8" s="477" t="s">
        <v>10</v>
      </c>
      <c r="E8" s="478" t="s">
        <v>11</v>
      </c>
      <c r="F8" s="476"/>
    </row>
    <row r="9" spans="2:6">
      <c r="B9" s="364">
        <v>4</v>
      </c>
      <c r="C9" s="479">
        <v>43004</v>
      </c>
      <c r="D9" s="477" t="s">
        <v>12</v>
      </c>
      <c r="E9" s="478" t="s">
        <v>13</v>
      </c>
      <c r="F9" s="476"/>
    </row>
    <row r="10" spans="2:6" ht="39.6">
      <c r="B10" s="364">
        <v>5</v>
      </c>
      <c r="C10" s="479">
        <v>45195</v>
      </c>
      <c r="D10" s="477" t="s">
        <v>14</v>
      </c>
      <c r="E10" s="478" t="s">
        <v>15</v>
      </c>
      <c r="F10" s="480"/>
    </row>
    <row r="11" spans="2:6" ht="39.6">
      <c r="B11" s="364">
        <v>6</v>
      </c>
      <c r="C11" s="479">
        <v>45204</v>
      </c>
      <c r="D11" s="477" t="s">
        <v>16</v>
      </c>
      <c r="E11" s="478" t="s">
        <v>15</v>
      </c>
      <c r="F11" s="481"/>
    </row>
    <row r="12" spans="2:6" ht="66">
      <c r="B12" s="364">
        <v>7</v>
      </c>
      <c r="C12" s="479">
        <v>45355</v>
      </c>
      <c r="D12" s="477" t="s">
        <v>17</v>
      </c>
      <c r="E12" s="478" t="s">
        <v>15</v>
      </c>
      <c r="F12" s="482"/>
    </row>
    <row r="13" spans="2:6" ht="52.8">
      <c r="B13" s="364">
        <v>8</v>
      </c>
      <c r="C13" s="479">
        <v>45436</v>
      </c>
      <c r="D13" s="477" t="s">
        <v>18</v>
      </c>
      <c r="E13" s="478" t="s">
        <v>15</v>
      </c>
      <c r="F13" s="483"/>
    </row>
    <row r="14" spans="2:6" ht="26.4">
      <c r="B14" s="364">
        <v>9</v>
      </c>
      <c r="C14" s="479">
        <v>45448</v>
      </c>
      <c r="D14" s="477" t="s">
        <v>19</v>
      </c>
      <c r="E14" s="478" t="s">
        <v>15</v>
      </c>
      <c r="F14" s="484"/>
    </row>
    <row r="15" spans="2:6" ht="39.6">
      <c r="B15" s="364">
        <v>10</v>
      </c>
      <c r="C15" s="479">
        <v>45575</v>
      </c>
      <c r="D15" s="477" t="s">
        <v>20</v>
      </c>
      <c r="E15" s="478" t="s">
        <v>15</v>
      </c>
      <c r="F15" s="485"/>
    </row>
    <row r="16" spans="2:6" ht="92.4">
      <c r="B16" s="364">
        <v>11</v>
      </c>
      <c r="C16" s="479" t="s">
        <v>21</v>
      </c>
      <c r="D16" s="477" t="s">
        <v>22</v>
      </c>
      <c r="E16" s="478" t="s">
        <v>23</v>
      </c>
      <c r="F16" s="486"/>
    </row>
    <row r="17" spans="2:6">
      <c r="B17" s="364">
        <v>12</v>
      </c>
      <c r="C17" s="479" t="s">
        <v>24</v>
      </c>
      <c r="D17" s="477" t="s">
        <v>25</v>
      </c>
      <c r="E17" s="478" t="s">
        <v>26</v>
      </c>
      <c r="F17" s="476"/>
    </row>
    <row r="18" spans="2:6">
      <c r="B18" s="364"/>
      <c r="C18" s="479"/>
      <c r="D18" s="477"/>
      <c r="E18" s="478"/>
      <c r="F18" s="476"/>
    </row>
    <row r="19" spans="2:6">
      <c r="B19" s="364"/>
      <c r="C19" s="479"/>
      <c r="D19" s="477"/>
      <c r="E19" s="478"/>
      <c r="F19" s="476"/>
    </row>
    <row r="20" spans="2:6">
      <c r="B20" s="364"/>
      <c r="C20" s="479"/>
      <c r="D20" s="477"/>
      <c r="E20" s="478"/>
      <c r="F20" s="476"/>
    </row>
    <row r="21" spans="2:6">
      <c r="B21" s="364"/>
      <c r="C21" s="479"/>
      <c r="D21" s="477"/>
      <c r="E21" s="478"/>
      <c r="F21" s="476"/>
    </row>
    <row r="22" spans="2:6">
      <c r="B22" s="364"/>
      <c r="C22" s="479"/>
      <c r="D22" s="477"/>
      <c r="E22" s="478"/>
      <c r="F22" s="476"/>
    </row>
    <row r="23" spans="2:6">
      <c r="B23" s="364"/>
      <c r="C23" s="479"/>
      <c r="D23" s="477"/>
      <c r="E23" s="478"/>
      <c r="F23" s="476"/>
    </row>
    <row r="24" spans="2:6">
      <c r="B24" s="364"/>
      <c r="C24" s="479"/>
      <c r="D24" s="477"/>
      <c r="E24" s="478"/>
      <c r="F24" s="476"/>
    </row>
    <row r="25" spans="2:6">
      <c r="B25" s="364"/>
      <c r="C25" s="479"/>
      <c r="D25" s="477"/>
      <c r="E25" s="478"/>
      <c r="F25" s="476"/>
    </row>
    <row r="26" spans="2:6">
      <c r="B26" s="364"/>
      <c r="C26" s="479"/>
      <c r="D26" s="477"/>
      <c r="E26" s="478"/>
      <c r="F26" s="476"/>
    </row>
    <row r="27" spans="2:6">
      <c r="B27" s="364"/>
      <c r="C27" s="479"/>
      <c r="D27" s="477"/>
      <c r="E27" s="487"/>
      <c r="F27" s="476"/>
    </row>
  </sheetData>
  <pageMargins left="0.69861111111111096" right="0.69861111111111096" top="0.75" bottom="0.75" header="0.51111111111111096" footer="0.51111111111111096"/>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S29"/>
  <sheetViews>
    <sheetView workbookViewId="0">
      <pane xSplit="3" ySplit="5" topLeftCell="E6" activePane="bottomRight" state="frozen"/>
      <selection pane="topRight"/>
      <selection pane="bottomLeft"/>
      <selection pane="bottomRight" activeCell="D54" sqref="D54"/>
    </sheetView>
  </sheetViews>
  <sheetFormatPr defaultColWidth="9.109375" defaultRowHeight="14.4"/>
  <cols>
    <col min="1" max="1" width="4.21875" style="449" customWidth="1"/>
    <col min="2" max="2" width="9.109375" style="449"/>
    <col min="3" max="3" width="29.6640625" style="450" customWidth="1"/>
    <col min="4" max="4" width="75.21875" style="451" customWidth="1"/>
    <col min="5" max="7" width="15.5546875" style="452" customWidth="1"/>
    <col min="8" max="8" width="25.5546875" style="449" customWidth="1"/>
    <col min="9" max="9" width="21.5546875" style="449" customWidth="1"/>
    <col min="10" max="253" width="9.109375" style="449"/>
  </cols>
  <sheetData>
    <row r="1" spans="1:9">
      <c r="A1" s="453" t="s">
        <v>27</v>
      </c>
      <c r="G1" s="452" t="s">
        <v>28</v>
      </c>
      <c r="H1" s="449" t="s">
        <v>29</v>
      </c>
    </row>
    <row r="2" spans="1:9">
      <c r="A2" s="453" t="s">
        <v>30</v>
      </c>
      <c r="G2" s="452" t="s">
        <v>31</v>
      </c>
      <c r="H2" s="449" t="s">
        <v>32</v>
      </c>
    </row>
    <row r="3" spans="1:9">
      <c r="G3" s="452" t="s">
        <v>33</v>
      </c>
      <c r="H3" s="449" t="s">
        <v>34</v>
      </c>
    </row>
    <row r="4" spans="1:9">
      <c r="G4" s="452" t="s">
        <v>35</v>
      </c>
      <c r="H4" s="449" t="s">
        <v>36</v>
      </c>
    </row>
    <row r="5" spans="1:9" ht="28.8">
      <c r="B5" s="454" t="s">
        <v>37</v>
      </c>
      <c r="C5" s="454" t="s">
        <v>38</v>
      </c>
      <c r="D5" s="455" t="s">
        <v>39</v>
      </c>
      <c r="E5" s="455" t="s">
        <v>40</v>
      </c>
      <c r="F5" s="455" t="s">
        <v>41</v>
      </c>
      <c r="G5" s="455" t="s">
        <v>42</v>
      </c>
      <c r="H5" s="454" t="s">
        <v>43</v>
      </c>
      <c r="I5" s="454" t="s">
        <v>44</v>
      </c>
    </row>
    <row r="6" spans="1:9" ht="57.6">
      <c r="B6" s="303">
        <v>1</v>
      </c>
      <c r="C6" s="456" t="s">
        <v>45</v>
      </c>
      <c r="D6" s="457" t="s">
        <v>46</v>
      </c>
      <c r="E6" s="458" t="s">
        <v>47</v>
      </c>
      <c r="F6" s="458" t="s">
        <v>28</v>
      </c>
      <c r="G6" s="458" t="s">
        <v>31</v>
      </c>
      <c r="H6" s="459" t="s">
        <v>48</v>
      </c>
      <c r="I6" s="459" t="s">
        <v>49</v>
      </c>
    </row>
    <row r="7" spans="1:9" ht="57.6">
      <c r="B7" s="303">
        <v>2</v>
      </c>
      <c r="C7" s="456" t="s">
        <v>50</v>
      </c>
      <c r="D7" s="457" t="s">
        <v>51</v>
      </c>
      <c r="E7" s="458" t="s">
        <v>47</v>
      </c>
      <c r="F7" s="458" t="s">
        <v>28</v>
      </c>
      <c r="G7" s="458" t="s">
        <v>31</v>
      </c>
      <c r="H7" s="303" t="s">
        <v>52</v>
      </c>
      <c r="I7" s="459" t="s">
        <v>49</v>
      </c>
    </row>
    <row r="8" spans="1:9" ht="57.6">
      <c r="B8" s="303">
        <v>3</v>
      </c>
      <c r="C8" s="456" t="s">
        <v>53</v>
      </c>
      <c r="D8" s="457" t="s">
        <v>54</v>
      </c>
      <c r="E8" s="458" t="s">
        <v>47</v>
      </c>
      <c r="F8" s="458" t="s">
        <v>28</v>
      </c>
      <c r="G8" s="458" t="s">
        <v>31</v>
      </c>
      <c r="H8" s="303" t="s">
        <v>52</v>
      </c>
      <c r="I8" s="459" t="s">
        <v>49</v>
      </c>
    </row>
    <row r="9" spans="1:9" ht="57.6">
      <c r="B9" s="303">
        <v>4</v>
      </c>
      <c r="C9" s="456" t="s">
        <v>55</v>
      </c>
      <c r="D9" s="457" t="s">
        <v>56</v>
      </c>
      <c r="E9" s="458" t="s">
        <v>47</v>
      </c>
      <c r="F9" s="458" t="s">
        <v>28</v>
      </c>
      <c r="G9" s="458" t="s">
        <v>31</v>
      </c>
      <c r="H9" s="303" t="s">
        <v>52</v>
      </c>
      <c r="I9" s="459" t="s">
        <v>49</v>
      </c>
    </row>
    <row r="10" spans="1:9" ht="57.6">
      <c r="B10" s="303">
        <v>5</v>
      </c>
      <c r="C10" s="456" t="s">
        <v>57</v>
      </c>
      <c r="D10" s="457" t="s">
        <v>58</v>
      </c>
      <c r="E10" s="458" t="s">
        <v>47</v>
      </c>
      <c r="F10" s="458" t="s">
        <v>28</v>
      </c>
      <c r="G10" s="458" t="s">
        <v>31</v>
      </c>
      <c r="H10" s="303" t="s">
        <v>52</v>
      </c>
      <c r="I10" s="459" t="s">
        <v>49</v>
      </c>
    </row>
    <row r="11" spans="1:9" ht="57.6">
      <c r="B11" s="303">
        <v>6</v>
      </c>
      <c r="C11" s="456" t="s">
        <v>59</v>
      </c>
      <c r="D11" s="457" t="s">
        <v>60</v>
      </c>
      <c r="E11" s="458" t="s">
        <v>47</v>
      </c>
      <c r="F11" s="458" t="s">
        <v>28</v>
      </c>
      <c r="G11" s="458" t="s">
        <v>31</v>
      </c>
      <c r="H11" s="303" t="s">
        <v>52</v>
      </c>
      <c r="I11" s="459" t="s">
        <v>49</v>
      </c>
    </row>
    <row r="12" spans="1:9" ht="57.6">
      <c r="B12" s="303">
        <v>7</v>
      </c>
      <c r="C12" s="456" t="s">
        <v>61</v>
      </c>
      <c r="D12" s="457" t="s">
        <v>62</v>
      </c>
      <c r="E12" s="458" t="s">
        <v>63</v>
      </c>
      <c r="F12" s="458" t="s">
        <v>31</v>
      </c>
      <c r="G12" s="458" t="s">
        <v>64</v>
      </c>
      <c r="H12" s="303" t="s">
        <v>65</v>
      </c>
      <c r="I12" s="459" t="s">
        <v>66</v>
      </c>
    </row>
    <row r="13" spans="1:9" ht="57.6">
      <c r="B13" s="303">
        <v>8</v>
      </c>
      <c r="C13" s="456" t="s">
        <v>67</v>
      </c>
      <c r="D13" s="457" t="s">
        <v>68</v>
      </c>
      <c r="E13" s="458" t="s">
        <v>69</v>
      </c>
      <c r="F13" s="458" t="s">
        <v>31</v>
      </c>
      <c r="G13" s="458" t="s">
        <v>70</v>
      </c>
      <c r="H13" s="459" t="s">
        <v>71</v>
      </c>
      <c r="I13" s="459" t="s">
        <v>66</v>
      </c>
    </row>
    <row r="14" spans="1:9" ht="57.6">
      <c r="B14" s="303">
        <v>9</v>
      </c>
      <c r="C14" s="456" t="s">
        <v>72</v>
      </c>
      <c r="D14" s="457" t="s">
        <v>73</v>
      </c>
      <c r="E14" s="458" t="s">
        <v>63</v>
      </c>
      <c r="F14" s="458" t="s">
        <v>31</v>
      </c>
      <c r="G14" s="458" t="s">
        <v>64</v>
      </c>
      <c r="H14" s="459" t="s">
        <v>74</v>
      </c>
      <c r="I14" s="459" t="s">
        <v>66</v>
      </c>
    </row>
    <row r="15" spans="1:9" ht="57.6">
      <c r="B15" s="303">
        <v>10</v>
      </c>
      <c r="C15" s="456" t="s">
        <v>75</v>
      </c>
      <c r="D15" s="457" t="s">
        <v>76</v>
      </c>
      <c r="E15" s="458" t="s">
        <v>63</v>
      </c>
      <c r="F15" s="458" t="s">
        <v>31</v>
      </c>
      <c r="G15" s="458" t="s">
        <v>64</v>
      </c>
      <c r="H15" s="459" t="s">
        <v>74</v>
      </c>
      <c r="I15" s="459" t="s">
        <v>66</v>
      </c>
    </row>
    <row r="16" spans="1:9" ht="57.6">
      <c r="B16" s="303">
        <v>11</v>
      </c>
      <c r="C16" s="456" t="s">
        <v>77</v>
      </c>
      <c r="D16" s="457" t="s">
        <v>78</v>
      </c>
      <c r="E16" s="458" t="s">
        <v>63</v>
      </c>
      <c r="F16" s="458" t="s">
        <v>31</v>
      </c>
      <c r="G16" s="458" t="s">
        <v>64</v>
      </c>
      <c r="H16" s="459" t="s">
        <v>74</v>
      </c>
      <c r="I16" s="459" t="s">
        <v>66</v>
      </c>
    </row>
    <row r="17" spans="2:9" ht="57.6">
      <c r="B17" s="303">
        <v>12</v>
      </c>
      <c r="C17" s="456" t="s">
        <v>79</v>
      </c>
      <c r="D17" s="457" t="s">
        <v>80</v>
      </c>
      <c r="E17" s="458" t="s">
        <v>69</v>
      </c>
      <c r="F17" s="458" t="s">
        <v>31</v>
      </c>
      <c r="G17" s="458" t="s">
        <v>70</v>
      </c>
      <c r="H17" s="459" t="s">
        <v>74</v>
      </c>
      <c r="I17" s="459" t="s">
        <v>66</v>
      </c>
    </row>
    <row r="18" spans="2:9" ht="57.6">
      <c r="B18" s="303">
        <v>13</v>
      </c>
      <c r="C18" s="456" t="s">
        <v>81</v>
      </c>
      <c r="D18" s="457" t="s">
        <v>82</v>
      </c>
      <c r="E18" s="458" t="s">
        <v>69</v>
      </c>
      <c r="F18" s="458" t="s">
        <v>31</v>
      </c>
      <c r="G18" s="458" t="s">
        <v>70</v>
      </c>
      <c r="H18" s="459" t="s">
        <v>74</v>
      </c>
      <c r="I18" s="459" t="s">
        <v>66</v>
      </c>
    </row>
    <row r="19" spans="2:9" ht="57.6">
      <c r="B19" s="303">
        <v>14</v>
      </c>
      <c r="C19" s="456" t="s">
        <v>83</v>
      </c>
      <c r="D19" s="457" t="s">
        <v>84</v>
      </c>
      <c r="E19" s="458" t="s">
        <v>69</v>
      </c>
      <c r="F19" s="458" t="s">
        <v>31</v>
      </c>
      <c r="G19" s="458" t="s">
        <v>70</v>
      </c>
      <c r="H19" s="459" t="s">
        <v>74</v>
      </c>
      <c r="I19" s="459" t="s">
        <v>66</v>
      </c>
    </row>
    <row r="20" spans="2:9" ht="144">
      <c r="B20" s="303">
        <v>15</v>
      </c>
      <c r="C20" s="456" t="s">
        <v>85</v>
      </c>
      <c r="D20" s="457" t="s">
        <v>86</v>
      </c>
      <c r="E20" s="458" t="s">
        <v>69</v>
      </c>
      <c r="F20" s="458" t="s">
        <v>31</v>
      </c>
      <c r="G20" s="458" t="s">
        <v>70</v>
      </c>
      <c r="H20" s="459" t="s">
        <v>74</v>
      </c>
      <c r="I20" s="459" t="s">
        <v>66</v>
      </c>
    </row>
    <row r="21" spans="2:9" ht="43.2">
      <c r="B21" s="303">
        <v>16</v>
      </c>
      <c r="C21" s="456" t="s">
        <v>87</v>
      </c>
      <c r="D21" s="457" t="s">
        <v>88</v>
      </c>
      <c r="E21" s="458" t="s">
        <v>89</v>
      </c>
      <c r="F21" s="458" t="s">
        <v>89</v>
      </c>
      <c r="G21" s="458" t="s">
        <v>89</v>
      </c>
      <c r="H21" s="303" t="s">
        <v>89</v>
      </c>
      <c r="I21" s="303" t="s">
        <v>89</v>
      </c>
    </row>
    <row r="22" spans="2:9" ht="43.2">
      <c r="B22" s="303">
        <v>17</v>
      </c>
      <c r="C22" s="456" t="s">
        <v>90</v>
      </c>
      <c r="D22" s="457" t="s">
        <v>91</v>
      </c>
      <c r="E22" s="458" t="s">
        <v>89</v>
      </c>
      <c r="F22" s="458" t="s">
        <v>89</v>
      </c>
      <c r="G22" s="458" t="s">
        <v>89</v>
      </c>
      <c r="H22" s="303" t="s">
        <v>89</v>
      </c>
      <c r="I22" s="303" t="s">
        <v>89</v>
      </c>
    </row>
    <row r="23" spans="2:9" ht="86.4">
      <c r="B23" s="303">
        <v>18</v>
      </c>
      <c r="C23" s="456" t="s">
        <v>92</v>
      </c>
      <c r="D23" s="457" t="s">
        <v>93</v>
      </c>
      <c r="E23" s="458" t="s">
        <v>89</v>
      </c>
      <c r="F23" s="458" t="s">
        <v>89</v>
      </c>
      <c r="G23" s="458" t="s">
        <v>89</v>
      </c>
      <c r="H23" s="303" t="s">
        <v>89</v>
      </c>
      <c r="I23" s="303" t="s">
        <v>89</v>
      </c>
    </row>
    <row r="24" spans="2:9" ht="43.2">
      <c r="B24" s="303">
        <v>19</v>
      </c>
      <c r="C24" s="456" t="s">
        <v>94</v>
      </c>
      <c r="D24" s="457" t="s">
        <v>95</v>
      </c>
      <c r="E24" s="458" t="s">
        <v>89</v>
      </c>
      <c r="F24" s="458" t="s">
        <v>89</v>
      </c>
      <c r="G24" s="458" t="s">
        <v>89</v>
      </c>
      <c r="H24" s="303" t="s">
        <v>89</v>
      </c>
      <c r="I24" s="303" t="s">
        <v>89</v>
      </c>
    </row>
    <row r="25" spans="2:9" ht="57.6">
      <c r="B25" s="303">
        <v>20</v>
      </c>
      <c r="C25" s="456" t="s">
        <v>96</v>
      </c>
      <c r="D25" s="457" t="s">
        <v>97</v>
      </c>
      <c r="E25" s="458" t="s">
        <v>89</v>
      </c>
      <c r="F25" s="458" t="s">
        <v>89</v>
      </c>
      <c r="G25" s="458" t="s">
        <v>89</v>
      </c>
      <c r="H25" s="303" t="s">
        <v>89</v>
      </c>
      <c r="I25" s="303" t="s">
        <v>89</v>
      </c>
    </row>
    <row r="26" spans="2:9" ht="43.2">
      <c r="B26" s="303">
        <v>21</v>
      </c>
      <c r="C26" s="456" t="s">
        <v>98</v>
      </c>
      <c r="D26" s="457" t="s">
        <v>99</v>
      </c>
      <c r="E26" s="458" t="s">
        <v>89</v>
      </c>
      <c r="F26" s="458" t="s">
        <v>89</v>
      </c>
      <c r="G26" s="458" t="s">
        <v>89</v>
      </c>
      <c r="H26" s="303" t="s">
        <v>89</v>
      </c>
      <c r="I26" s="303" t="s">
        <v>89</v>
      </c>
    </row>
    <row r="27" spans="2:9" ht="43.2">
      <c r="B27" s="303">
        <v>22</v>
      </c>
      <c r="C27" s="456" t="s">
        <v>100</v>
      </c>
      <c r="D27" s="457" t="s">
        <v>101</v>
      </c>
      <c r="E27" s="458" t="s">
        <v>89</v>
      </c>
      <c r="F27" s="458" t="s">
        <v>89</v>
      </c>
      <c r="G27" s="458" t="s">
        <v>89</v>
      </c>
      <c r="H27" s="303" t="s">
        <v>89</v>
      </c>
      <c r="I27" s="303" t="s">
        <v>89</v>
      </c>
    </row>
    <row r="28" spans="2:9" ht="43.2">
      <c r="B28" s="303">
        <v>23</v>
      </c>
      <c r="C28" s="456" t="s">
        <v>102</v>
      </c>
      <c r="D28" s="457" t="s">
        <v>103</v>
      </c>
      <c r="E28" s="458" t="s">
        <v>47</v>
      </c>
      <c r="F28" s="458" t="s">
        <v>28</v>
      </c>
      <c r="G28" s="458" t="s">
        <v>31</v>
      </c>
      <c r="H28" s="303" t="s">
        <v>52</v>
      </c>
      <c r="I28" s="303"/>
    </row>
    <row r="29" spans="2:9" ht="28.8">
      <c r="B29" s="303">
        <v>24</v>
      </c>
      <c r="C29" s="456" t="s">
        <v>104</v>
      </c>
      <c r="D29" s="457" t="s">
        <v>105</v>
      </c>
      <c r="E29" s="458" t="s">
        <v>47</v>
      </c>
      <c r="F29" s="458" t="s">
        <v>28</v>
      </c>
      <c r="G29" s="458" t="s">
        <v>31</v>
      </c>
      <c r="H29" s="303" t="s">
        <v>52</v>
      </c>
      <c r="I29" s="303"/>
    </row>
  </sheetData>
  <autoFilter ref="B5:I29" xr:uid="{00000000-0009-0000-0000-000001000000}"/>
  <pageMargins left="0.75" right="0.75" top="1" bottom="1" header="0.51111111111111096" footer="0.51111111111111096"/>
  <pageSetup paperSize="9" orientation="portrait"/>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66"/>
  <sheetViews>
    <sheetView topLeftCell="D467" workbookViewId="0">
      <selection activeCell="L468" sqref="L468"/>
    </sheetView>
  </sheetViews>
  <sheetFormatPr defaultColWidth="9.109375" defaultRowHeight="13.2"/>
  <cols>
    <col min="1" max="1" width="24.44140625" style="366" customWidth="1"/>
    <col min="2" max="2" width="17.6640625" style="366" customWidth="1"/>
    <col min="3" max="3" width="26" style="366" customWidth="1"/>
    <col min="4" max="4" width="29.88671875" style="367" customWidth="1"/>
    <col min="5" max="5" width="2" style="367" customWidth="1"/>
    <col min="6" max="6" width="31.21875" style="363" customWidth="1"/>
    <col min="7" max="7" width="31.21875" style="366" customWidth="1"/>
    <col min="8" max="8" width="34.33203125" style="329" customWidth="1"/>
    <col min="9" max="9" width="17.109375" style="329" customWidth="1"/>
    <col min="10" max="10" width="9.109375" style="366" customWidth="1"/>
    <col min="11" max="16384" width="9.109375" style="366"/>
  </cols>
  <sheetData>
    <row r="1" spans="1:9" ht="26.4">
      <c r="A1" s="1"/>
      <c r="B1" s="1"/>
      <c r="H1" s="318" t="s">
        <v>106</v>
      </c>
      <c r="I1" s="319" t="s">
        <v>107</v>
      </c>
    </row>
    <row r="2" spans="1:9" ht="15">
      <c r="A2" s="1" t="s">
        <v>108</v>
      </c>
      <c r="B2" s="1"/>
      <c r="C2" s="1"/>
      <c r="D2" s="1"/>
      <c r="E2" s="1"/>
      <c r="F2" s="489"/>
    </row>
    <row r="4" spans="1:9" ht="15">
      <c r="A4" s="1" t="s">
        <v>109</v>
      </c>
      <c r="B4" s="1"/>
      <c r="C4" s="1"/>
      <c r="D4" s="1"/>
      <c r="E4" s="1"/>
      <c r="F4" s="489"/>
    </row>
    <row r="6" spans="1:9" s="361" customFormat="1" ht="18" customHeight="1">
      <c r="A6" s="369" t="s">
        <v>110</v>
      </c>
      <c r="B6" s="369" t="s">
        <v>111</v>
      </c>
      <c r="C6" s="370" t="s">
        <v>112</v>
      </c>
      <c r="D6" s="371" t="s">
        <v>113</v>
      </c>
      <c r="E6" s="372"/>
      <c r="F6" s="370" t="s">
        <v>112</v>
      </c>
      <c r="G6" s="371" t="s">
        <v>113</v>
      </c>
      <c r="H6" s="373"/>
      <c r="I6" s="373"/>
    </row>
    <row r="7" spans="1:9">
      <c r="A7" s="366">
        <v>0</v>
      </c>
      <c r="B7" s="366">
        <v>1</v>
      </c>
      <c r="C7" s="366" t="s">
        <v>114</v>
      </c>
      <c r="D7" s="367" t="s">
        <v>115</v>
      </c>
      <c r="E7" s="374"/>
      <c r="F7" s="366" t="s">
        <v>114</v>
      </c>
      <c r="G7" s="367" t="s">
        <v>115</v>
      </c>
    </row>
    <row r="8" spans="1:9" ht="22.8">
      <c r="A8" s="366">
        <f t="shared" ref="A8:A17" si="0">A7+B7</f>
        <v>1</v>
      </c>
      <c r="B8" s="366">
        <v>1</v>
      </c>
      <c r="C8" s="366" t="s">
        <v>116</v>
      </c>
      <c r="D8" s="367" t="s">
        <v>117</v>
      </c>
      <c r="E8" s="374"/>
      <c r="F8" s="366" t="s">
        <v>116</v>
      </c>
      <c r="G8" s="367" t="s">
        <v>117</v>
      </c>
    </row>
    <row r="9" spans="1:9">
      <c r="A9" s="366">
        <f t="shared" si="0"/>
        <v>2</v>
      </c>
      <c r="B9" s="366">
        <v>1</v>
      </c>
      <c r="C9" s="366" t="s">
        <v>118</v>
      </c>
      <c r="D9" s="367" t="s">
        <v>119</v>
      </c>
      <c r="E9" s="374"/>
      <c r="F9" s="366" t="s">
        <v>118</v>
      </c>
      <c r="G9" s="367" t="s">
        <v>119</v>
      </c>
    </row>
    <row r="10" spans="1:9" ht="39.6">
      <c r="A10" s="366">
        <f t="shared" si="0"/>
        <v>3</v>
      </c>
      <c r="B10" s="366">
        <v>2</v>
      </c>
      <c r="C10" s="375" t="s">
        <v>120</v>
      </c>
      <c r="D10" s="367" t="str">
        <f>DEC2HEX(A17-5)</f>
        <v>C</v>
      </c>
      <c r="E10" s="374"/>
      <c r="F10" s="375" t="s">
        <v>120</v>
      </c>
      <c r="G10" s="367" t="str">
        <f>DEC2HEX(D17-5)</f>
        <v>FFFFFFFFFB</v>
      </c>
    </row>
    <row r="11" spans="1:9" ht="22.8">
      <c r="A11" s="366">
        <f t="shared" si="0"/>
        <v>5</v>
      </c>
      <c r="B11" s="366">
        <v>2</v>
      </c>
      <c r="C11" s="376" t="s">
        <v>121</v>
      </c>
      <c r="D11" s="367" t="s">
        <v>122</v>
      </c>
      <c r="E11" s="374"/>
      <c r="F11" s="376" t="s">
        <v>121</v>
      </c>
      <c r="G11" s="367" t="s">
        <v>122</v>
      </c>
    </row>
    <row r="12" spans="1:9" ht="22.8">
      <c r="A12" s="366">
        <f t="shared" si="0"/>
        <v>7</v>
      </c>
      <c r="B12" s="366">
        <v>2</v>
      </c>
      <c r="C12" s="376" t="s">
        <v>123</v>
      </c>
      <c r="D12" s="367" t="s">
        <v>124</v>
      </c>
      <c r="E12" s="374"/>
      <c r="F12" s="376" t="s">
        <v>123</v>
      </c>
      <c r="G12" s="367" t="s">
        <v>124</v>
      </c>
    </row>
    <row r="13" spans="1:9">
      <c r="A13" s="366">
        <f t="shared" si="0"/>
        <v>9</v>
      </c>
      <c r="B13" s="366">
        <v>1</v>
      </c>
      <c r="C13" s="376" t="s">
        <v>125</v>
      </c>
      <c r="D13" s="367" t="s">
        <v>126</v>
      </c>
      <c r="E13" s="374"/>
      <c r="F13" s="376" t="s">
        <v>125</v>
      </c>
      <c r="G13" s="367" t="s">
        <v>126</v>
      </c>
    </row>
    <row r="14" spans="1:9" ht="22.8">
      <c r="A14" s="366">
        <f t="shared" si="0"/>
        <v>10</v>
      </c>
      <c r="B14" s="366">
        <v>2</v>
      </c>
      <c r="C14" s="363" t="s">
        <v>127</v>
      </c>
      <c r="D14" s="367" t="s">
        <v>128</v>
      </c>
      <c r="E14" s="374"/>
      <c r="F14" s="363" t="s">
        <v>127</v>
      </c>
      <c r="G14" s="367" t="s">
        <v>128</v>
      </c>
    </row>
    <row r="15" spans="1:9" ht="34.200000000000003">
      <c r="A15" s="366">
        <f t="shared" si="0"/>
        <v>12</v>
      </c>
      <c r="B15" s="366">
        <v>4</v>
      </c>
      <c r="C15" s="366" t="s">
        <v>129</v>
      </c>
      <c r="D15" s="367" t="s">
        <v>130</v>
      </c>
      <c r="E15" s="374"/>
      <c r="F15" s="366" t="s">
        <v>129</v>
      </c>
      <c r="G15" s="367" t="s">
        <v>130</v>
      </c>
    </row>
    <row r="16" spans="1:9">
      <c r="A16" s="366">
        <f t="shared" si="0"/>
        <v>16</v>
      </c>
      <c r="B16" s="366">
        <v>1</v>
      </c>
      <c r="C16" s="366" t="s">
        <v>131</v>
      </c>
      <c r="D16" s="367" t="s">
        <v>132</v>
      </c>
      <c r="E16" s="374"/>
      <c r="F16" s="366" t="s">
        <v>131</v>
      </c>
      <c r="G16" s="367" t="s">
        <v>132</v>
      </c>
    </row>
    <row r="17" spans="1:9">
      <c r="A17" s="366">
        <f t="shared" si="0"/>
        <v>17</v>
      </c>
      <c r="C17" s="376"/>
      <c r="E17" s="374"/>
    </row>
    <row r="18" spans="1:9">
      <c r="C18" s="376"/>
      <c r="E18" s="374"/>
    </row>
    <row r="19" spans="1:9" ht="15">
      <c r="A19" s="1"/>
      <c r="B19" s="1"/>
      <c r="C19" s="376"/>
      <c r="E19" s="374"/>
    </row>
    <row r="20" spans="1:9" ht="15">
      <c r="A20" s="1" t="s">
        <v>133</v>
      </c>
      <c r="B20" s="1"/>
      <c r="C20" s="1"/>
      <c r="D20" s="1"/>
      <c r="E20" s="1"/>
      <c r="F20" s="489"/>
    </row>
    <row r="21" spans="1:9" ht="15">
      <c r="A21" s="368"/>
      <c r="B21" s="368"/>
      <c r="C21" s="368"/>
      <c r="D21" s="377"/>
      <c r="E21" s="378"/>
    </row>
    <row r="22" spans="1:9" ht="15">
      <c r="A22" s="1" t="s">
        <v>134</v>
      </c>
      <c r="B22" s="1"/>
      <c r="C22" s="1"/>
      <c r="D22" s="1"/>
      <c r="E22" s="1"/>
      <c r="F22" s="489"/>
    </row>
    <row r="23" spans="1:9">
      <c r="E23" s="374"/>
    </row>
    <row r="24" spans="1:9" s="361" customFormat="1" ht="18" customHeight="1">
      <c r="A24" s="379" t="s">
        <v>110</v>
      </c>
      <c r="B24" s="380" t="s">
        <v>111</v>
      </c>
      <c r="C24" s="381" t="s">
        <v>112</v>
      </c>
      <c r="D24" s="382" t="s">
        <v>113</v>
      </c>
      <c r="E24" s="383"/>
      <c r="F24" s="381" t="s">
        <v>112</v>
      </c>
      <c r="G24" s="382" t="s">
        <v>113</v>
      </c>
      <c r="H24" s="373"/>
      <c r="I24" s="373"/>
    </row>
    <row r="25" spans="1:9">
      <c r="A25" s="384">
        <v>0</v>
      </c>
      <c r="B25" s="384">
        <v>1</v>
      </c>
      <c r="C25" s="384" t="s">
        <v>135</v>
      </c>
      <c r="D25" s="367" t="s">
        <v>115</v>
      </c>
      <c r="E25" s="374"/>
      <c r="F25" s="384" t="s">
        <v>135</v>
      </c>
      <c r="G25" s="367" t="s">
        <v>115</v>
      </c>
    </row>
    <row r="26" spans="1:9">
      <c r="A26" s="384">
        <f t="shared" ref="A26:A89" si="1">A25+B25</f>
        <v>1</v>
      </c>
      <c r="B26" s="384">
        <v>1</v>
      </c>
      <c r="C26" s="384" t="s">
        <v>136</v>
      </c>
      <c r="D26" s="367" t="s">
        <v>137</v>
      </c>
      <c r="E26" s="374"/>
      <c r="F26" s="384" t="s">
        <v>136</v>
      </c>
      <c r="G26" s="367" t="s">
        <v>137</v>
      </c>
    </row>
    <row r="27" spans="1:9">
      <c r="A27" s="384">
        <f t="shared" si="1"/>
        <v>2</v>
      </c>
      <c r="B27" s="384">
        <v>1</v>
      </c>
      <c r="C27" s="384" t="s">
        <v>138</v>
      </c>
      <c r="D27" s="367" t="s">
        <v>139</v>
      </c>
      <c r="E27" s="374"/>
      <c r="F27" s="384" t="s">
        <v>138</v>
      </c>
      <c r="G27" s="367" t="s">
        <v>139</v>
      </c>
    </row>
    <row r="28" spans="1:9">
      <c r="A28" s="384">
        <f t="shared" si="1"/>
        <v>3</v>
      </c>
      <c r="B28" s="384">
        <v>3</v>
      </c>
      <c r="C28" s="385" t="s">
        <v>140</v>
      </c>
      <c r="D28" s="386" t="s">
        <v>141</v>
      </c>
      <c r="E28" s="387"/>
      <c r="F28" s="385" t="s">
        <v>140</v>
      </c>
      <c r="G28" s="386" t="s">
        <v>141</v>
      </c>
    </row>
    <row r="29" spans="1:9">
      <c r="A29" s="384">
        <f t="shared" si="1"/>
        <v>6</v>
      </c>
      <c r="B29" s="388"/>
      <c r="C29" s="382" t="s">
        <v>142</v>
      </c>
      <c r="E29" s="374"/>
      <c r="F29" s="382" t="s">
        <v>142</v>
      </c>
      <c r="G29" s="367"/>
    </row>
    <row r="30" spans="1:9" ht="45" customHeight="1">
      <c r="A30" s="384">
        <f t="shared" si="1"/>
        <v>6</v>
      </c>
      <c r="B30" s="384">
        <v>1</v>
      </c>
      <c r="C30" s="384" t="s">
        <v>143</v>
      </c>
      <c r="D30" s="367" t="s">
        <v>144</v>
      </c>
      <c r="E30" s="374"/>
      <c r="F30" s="384" t="s">
        <v>143</v>
      </c>
      <c r="G30" s="367" t="s">
        <v>144</v>
      </c>
    </row>
    <row r="31" spans="1:9" ht="34.200000000000003">
      <c r="A31" s="384">
        <f t="shared" si="1"/>
        <v>7</v>
      </c>
      <c r="B31" s="388" t="s">
        <v>145</v>
      </c>
      <c r="C31" s="388" t="s">
        <v>146</v>
      </c>
      <c r="D31" s="367" t="s">
        <v>147</v>
      </c>
      <c r="E31" s="374"/>
      <c r="F31" s="388" t="s">
        <v>146</v>
      </c>
      <c r="G31" s="367" t="s">
        <v>147</v>
      </c>
    </row>
    <row r="32" spans="1:9" ht="34.200000000000003">
      <c r="A32" s="384">
        <f t="shared" si="1"/>
        <v>9</v>
      </c>
      <c r="B32" s="388" t="s">
        <v>148</v>
      </c>
      <c r="C32" s="389" t="s">
        <v>149</v>
      </c>
      <c r="D32" s="367" t="s">
        <v>150</v>
      </c>
      <c r="E32" s="374"/>
      <c r="F32" s="389" t="s">
        <v>149</v>
      </c>
      <c r="G32" s="367" t="s">
        <v>150</v>
      </c>
    </row>
    <row r="33" spans="1:9" ht="45.6">
      <c r="A33" s="384">
        <f t="shared" si="1"/>
        <v>12</v>
      </c>
      <c r="B33" s="388" t="s">
        <v>151</v>
      </c>
      <c r="C33" s="389" t="s">
        <v>152</v>
      </c>
      <c r="D33" s="367" t="s">
        <v>153</v>
      </c>
      <c r="E33" s="374"/>
      <c r="F33" s="389" t="s">
        <v>152</v>
      </c>
      <c r="G33" s="367" t="s">
        <v>153</v>
      </c>
    </row>
    <row r="34" spans="1:9" ht="45.6">
      <c r="A34" s="384">
        <f t="shared" si="1"/>
        <v>16</v>
      </c>
      <c r="B34" s="388" t="s">
        <v>148</v>
      </c>
      <c r="C34" s="388" t="s">
        <v>154</v>
      </c>
      <c r="D34" s="367" t="s">
        <v>155</v>
      </c>
      <c r="E34" s="374"/>
      <c r="F34" s="388" t="s">
        <v>154</v>
      </c>
      <c r="G34" s="367" t="s">
        <v>155</v>
      </c>
    </row>
    <row r="35" spans="1:9" ht="45.6">
      <c r="A35" s="384">
        <f t="shared" si="1"/>
        <v>19</v>
      </c>
      <c r="B35" s="388" t="s">
        <v>151</v>
      </c>
      <c r="C35" s="389" t="s">
        <v>156</v>
      </c>
      <c r="D35" s="367" t="s">
        <v>157</v>
      </c>
      <c r="E35" s="374"/>
      <c r="F35" s="389" t="s">
        <v>156</v>
      </c>
      <c r="G35" s="367" t="s">
        <v>157</v>
      </c>
    </row>
    <row r="36" spans="1:9" ht="45.6">
      <c r="A36" s="384">
        <f t="shared" si="1"/>
        <v>23</v>
      </c>
      <c r="B36" s="388" t="s">
        <v>151</v>
      </c>
      <c r="C36" s="388" t="s">
        <v>158</v>
      </c>
      <c r="D36" s="367" t="s">
        <v>157</v>
      </c>
      <c r="E36" s="374"/>
      <c r="F36" s="388" t="s">
        <v>158</v>
      </c>
      <c r="G36" s="367" t="s">
        <v>157</v>
      </c>
    </row>
    <row r="37" spans="1:9" ht="45.6">
      <c r="A37" s="384">
        <f t="shared" si="1"/>
        <v>27</v>
      </c>
      <c r="B37" s="388" t="s">
        <v>151</v>
      </c>
      <c r="C37" s="388" t="s">
        <v>159</v>
      </c>
      <c r="D37" s="367" t="s">
        <v>157</v>
      </c>
      <c r="E37" s="374"/>
      <c r="F37" s="388" t="s">
        <v>159</v>
      </c>
      <c r="G37" s="367" t="s">
        <v>157</v>
      </c>
    </row>
    <row r="38" spans="1:9" ht="45.6">
      <c r="A38" s="384">
        <f t="shared" si="1"/>
        <v>31</v>
      </c>
      <c r="B38" s="388" t="s">
        <v>151</v>
      </c>
      <c r="C38" s="388" t="s">
        <v>160</v>
      </c>
      <c r="D38" s="367" t="s">
        <v>157</v>
      </c>
      <c r="E38" s="374"/>
      <c r="F38" s="388" t="s">
        <v>160</v>
      </c>
      <c r="G38" s="367" t="s">
        <v>157</v>
      </c>
    </row>
    <row r="39" spans="1:9" ht="34.200000000000003">
      <c r="A39" s="384">
        <f t="shared" si="1"/>
        <v>35</v>
      </c>
      <c r="B39" s="388" t="s">
        <v>151</v>
      </c>
      <c r="C39" s="388" t="s">
        <v>161</v>
      </c>
      <c r="D39" s="367" t="s">
        <v>150</v>
      </c>
      <c r="E39" s="374"/>
      <c r="F39" s="388" t="s">
        <v>161</v>
      </c>
      <c r="G39" s="367" t="s">
        <v>150</v>
      </c>
    </row>
    <row r="40" spans="1:9" ht="34.200000000000003">
      <c r="A40" s="384">
        <f t="shared" si="1"/>
        <v>39</v>
      </c>
      <c r="B40" s="388" t="s">
        <v>151</v>
      </c>
      <c r="C40" s="388" t="s">
        <v>162</v>
      </c>
      <c r="D40" s="367" t="s">
        <v>150</v>
      </c>
      <c r="E40" s="374"/>
      <c r="F40" s="388" t="s">
        <v>162</v>
      </c>
      <c r="G40" s="367" t="s">
        <v>150</v>
      </c>
    </row>
    <row r="41" spans="1:9" ht="57">
      <c r="A41" s="384">
        <f t="shared" si="1"/>
        <v>43</v>
      </c>
      <c r="B41" s="388" t="s">
        <v>163</v>
      </c>
      <c r="C41" s="388" t="s">
        <v>164</v>
      </c>
      <c r="D41" s="390" t="s">
        <v>165</v>
      </c>
      <c r="E41" s="391"/>
      <c r="F41" s="388" t="s">
        <v>164</v>
      </c>
      <c r="G41" s="390" t="s">
        <v>165</v>
      </c>
      <c r="H41" s="392" t="s">
        <v>166</v>
      </c>
      <c r="I41" s="329" t="s">
        <v>167</v>
      </c>
    </row>
    <row r="42" spans="1:9" ht="45.6">
      <c r="A42" s="384">
        <f t="shared" si="1"/>
        <v>44</v>
      </c>
      <c r="B42" s="388" t="s">
        <v>163</v>
      </c>
      <c r="C42" s="388" t="s">
        <v>168</v>
      </c>
      <c r="D42" s="390" t="s">
        <v>169</v>
      </c>
      <c r="E42" s="391"/>
      <c r="F42" s="388" t="s">
        <v>168</v>
      </c>
      <c r="G42" s="390" t="s">
        <v>169</v>
      </c>
      <c r="H42" s="392"/>
    </row>
    <row r="43" spans="1:9">
      <c r="A43" s="384">
        <f t="shared" si="1"/>
        <v>45</v>
      </c>
      <c r="B43" s="388">
        <v>10</v>
      </c>
      <c r="C43" s="388" t="s">
        <v>170</v>
      </c>
      <c r="D43" s="393" t="s">
        <v>171</v>
      </c>
      <c r="E43" s="394"/>
      <c r="F43" s="388" t="s">
        <v>170</v>
      </c>
      <c r="G43" s="393" t="s">
        <v>171</v>
      </c>
    </row>
    <row r="44" spans="1:9">
      <c r="A44" s="384">
        <f t="shared" si="1"/>
        <v>55</v>
      </c>
      <c r="B44" s="388"/>
      <c r="C44" s="395" t="s">
        <v>172</v>
      </c>
      <c r="E44" s="374"/>
      <c r="F44" s="395" t="s">
        <v>172</v>
      </c>
      <c r="G44" s="367"/>
    </row>
    <row r="45" spans="1:9" ht="34.200000000000003">
      <c r="A45" s="384">
        <f t="shared" si="1"/>
        <v>55</v>
      </c>
      <c r="B45" s="388" t="s">
        <v>163</v>
      </c>
      <c r="C45" s="388" t="s">
        <v>173</v>
      </c>
      <c r="D45" s="367" t="s">
        <v>174</v>
      </c>
      <c r="E45" s="374"/>
      <c r="F45" s="388" t="s">
        <v>173</v>
      </c>
      <c r="G45" s="367" t="s">
        <v>174</v>
      </c>
      <c r="H45" s="329" t="s">
        <v>175</v>
      </c>
      <c r="I45" s="329" t="s">
        <v>176</v>
      </c>
    </row>
    <row r="46" spans="1:9" ht="12.75" customHeight="1">
      <c r="A46" s="384">
        <f t="shared" si="1"/>
        <v>56</v>
      </c>
      <c r="B46" s="388" t="s">
        <v>163</v>
      </c>
      <c r="C46" s="388" t="s">
        <v>177</v>
      </c>
      <c r="D46" s="491" t="s">
        <v>178</v>
      </c>
      <c r="E46" s="374"/>
      <c r="F46" s="388" t="s">
        <v>177</v>
      </c>
      <c r="G46" s="491" t="s">
        <v>178</v>
      </c>
    </row>
    <row r="47" spans="1:9">
      <c r="A47" s="384">
        <f t="shared" si="1"/>
        <v>57</v>
      </c>
      <c r="B47" s="388" t="s">
        <v>163</v>
      </c>
      <c r="C47" s="388" t="s">
        <v>179</v>
      </c>
      <c r="D47" s="491"/>
      <c r="E47" s="374"/>
      <c r="F47" s="388" t="s">
        <v>179</v>
      </c>
      <c r="G47" s="491"/>
    </row>
    <row r="48" spans="1:9">
      <c r="A48" s="384">
        <f t="shared" si="1"/>
        <v>58</v>
      </c>
      <c r="B48" s="388" t="s">
        <v>163</v>
      </c>
      <c r="C48" s="388" t="s">
        <v>180</v>
      </c>
      <c r="D48" s="491"/>
      <c r="E48" s="374"/>
      <c r="F48" s="388" t="s">
        <v>180</v>
      </c>
      <c r="G48" s="491"/>
    </row>
    <row r="49" spans="1:7">
      <c r="A49" s="384">
        <f t="shared" si="1"/>
        <v>59</v>
      </c>
      <c r="B49" s="388" t="s">
        <v>163</v>
      </c>
      <c r="C49" s="388" t="s">
        <v>181</v>
      </c>
      <c r="D49" s="491"/>
      <c r="E49" s="374"/>
      <c r="F49" s="388" t="s">
        <v>181</v>
      </c>
      <c r="G49" s="491"/>
    </row>
    <row r="50" spans="1:7" ht="12" customHeight="1">
      <c r="A50" s="384">
        <f t="shared" si="1"/>
        <v>60</v>
      </c>
      <c r="B50" s="396">
        <v>1</v>
      </c>
      <c r="C50" s="393" t="s">
        <v>182</v>
      </c>
      <c r="D50" s="491"/>
      <c r="E50" s="374"/>
      <c r="F50" s="393" t="s">
        <v>182</v>
      </c>
      <c r="G50" s="491"/>
    </row>
    <row r="51" spans="1:7">
      <c r="A51" s="384">
        <f t="shared" si="1"/>
        <v>61</v>
      </c>
      <c r="B51" s="388"/>
      <c r="C51" s="382" t="s">
        <v>183</v>
      </c>
      <c r="D51" s="397"/>
      <c r="E51" s="398"/>
      <c r="F51" s="382" t="s">
        <v>183</v>
      </c>
      <c r="G51" s="397"/>
    </row>
    <row r="52" spans="1:7" ht="202.05" customHeight="1">
      <c r="A52" s="384">
        <f t="shared" si="1"/>
        <v>61</v>
      </c>
      <c r="B52" s="388" t="s">
        <v>163</v>
      </c>
      <c r="C52" s="388" t="s">
        <v>184</v>
      </c>
      <c r="D52" s="399" t="s">
        <v>185</v>
      </c>
      <c r="E52" s="400"/>
      <c r="F52" s="388" t="s">
        <v>184</v>
      </c>
      <c r="G52" s="399" t="s">
        <v>185</v>
      </c>
    </row>
    <row r="53" spans="1:7" ht="45.6">
      <c r="A53" s="384">
        <f t="shared" si="1"/>
        <v>62</v>
      </c>
      <c r="B53" s="384" t="s">
        <v>151</v>
      </c>
      <c r="C53" s="384" t="s">
        <v>186</v>
      </c>
      <c r="D53" s="367" t="s">
        <v>157</v>
      </c>
      <c r="E53" s="374"/>
      <c r="F53" s="384" t="s">
        <v>186</v>
      </c>
      <c r="G53" s="367" t="s">
        <v>157</v>
      </c>
    </row>
    <row r="54" spans="1:7" ht="34.200000000000003">
      <c r="A54" s="384">
        <f t="shared" si="1"/>
        <v>66</v>
      </c>
      <c r="B54" s="384" t="s">
        <v>163</v>
      </c>
      <c r="C54" s="388" t="s">
        <v>187</v>
      </c>
      <c r="D54" s="401" t="s">
        <v>188</v>
      </c>
      <c r="E54" s="391"/>
      <c r="F54" s="388" t="s">
        <v>187</v>
      </c>
      <c r="G54" s="401" t="s">
        <v>188</v>
      </c>
    </row>
    <row r="55" spans="1:7" ht="57">
      <c r="A55" s="384">
        <f t="shared" si="1"/>
        <v>67</v>
      </c>
      <c r="B55" s="384" t="s">
        <v>163</v>
      </c>
      <c r="C55" s="384" t="s">
        <v>189</v>
      </c>
      <c r="D55" s="401" t="s">
        <v>190</v>
      </c>
      <c r="E55" s="391"/>
      <c r="F55" s="384" t="s">
        <v>189</v>
      </c>
      <c r="G55" s="401" t="s">
        <v>190</v>
      </c>
    </row>
    <row r="56" spans="1:7" ht="57">
      <c r="A56" s="384">
        <f t="shared" si="1"/>
        <v>68</v>
      </c>
      <c r="B56" s="384" t="s">
        <v>163</v>
      </c>
      <c r="C56" s="384" t="s">
        <v>191</v>
      </c>
      <c r="D56" s="402" t="s">
        <v>192</v>
      </c>
      <c r="E56" s="374"/>
      <c r="F56" s="384" t="s">
        <v>191</v>
      </c>
      <c r="G56" s="402" t="s">
        <v>192</v>
      </c>
    </row>
    <row r="57" spans="1:7" ht="45.6">
      <c r="A57" s="403">
        <f t="shared" si="1"/>
        <v>69</v>
      </c>
      <c r="B57" s="404" t="s">
        <v>163</v>
      </c>
      <c r="C57" s="404" t="s">
        <v>193</v>
      </c>
      <c r="D57" s="405" t="s">
        <v>194</v>
      </c>
      <c r="E57" s="405"/>
      <c r="F57" s="404" t="s">
        <v>193</v>
      </c>
      <c r="G57" s="405" t="s">
        <v>194</v>
      </c>
    </row>
    <row r="58" spans="1:7" ht="34.200000000000003">
      <c r="A58" s="384">
        <f t="shared" si="1"/>
        <v>70</v>
      </c>
      <c r="B58" s="388">
        <v>3</v>
      </c>
      <c r="C58" s="388" t="s">
        <v>195</v>
      </c>
      <c r="D58" s="367" t="s">
        <v>196</v>
      </c>
      <c r="E58" s="374"/>
      <c r="F58" s="388" t="s">
        <v>195</v>
      </c>
      <c r="G58" s="367" t="s">
        <v>196</v>
      </c>
    </row>
    <row r="59" spans="1:7" ht="12.75" customHeight="1">
      <c r="A59" s="384">
        <f t="shared" si="1"/>
        <v>73</v>
      </c>
      <c r="B59" s="384" t="s">
        <v>163</v>
      </c>
      <c r="C59" s="384" t="s">
        <v>197</v>
      </c>
      <c r="D59" s="491" t="s">
        <v>144</v>
      </c>
      <c r="E59" s="374"/>
      <c r="F59" s="384" t="s">
        <v>197</v>
      </c>
      <c r="G59" s="491" t="s">
        <v>144</v>
      </c>
    </row>
    <row r="60" spans="1:7">
      <c r="A60" s="384">
        <f t="shared" si="1"/>
        <v>74</v>
      </c>
      <c r="B60" s="388" t="s">
        <v>163</v>
      </c>
      <c r="C60" s="384" t="s">
        <v>198</v>
      </c>
      <c r="D60" s="491"/>
      <c r="E60" s="374"/>
      <c r="F60" s="384" t="s">
        <v>198</v>
      </c>
      <c r="G60" s="491"/>
    </row>
    <row r="61" spans="1:7">
      <c r="A61" s="384">
        <f t="shared" si="1"/>
        <v>75</v>
      </c>
      <c r="B61" s="384" t="s">
        <v>163</v>
      </c>
      <c r="C61" s="384" t="s">
        <v>199</v>
      </c>
      <c r="D61" s="491"/>
      <c r="E61" s="374"/>
      <c r="F61" s="384" t="s">
        <v>199</v>
      </c>
      <c r="G61" s="491"/>
    </row>
    <row r="62" spans="1:7" ht="12" customHeight="1">
      <c r="A62" s="384">
        <f t="shared" si="1"/>
        <v>76</v>
      </c>
      <c r="B62" s="388" t="s">
        <v>151</v>
      </c>
      <c r="C62" s="384" t="s">
        <v>200</v>
      </c>
      <c r="D62" s="406"/>
      <c r="E62" s="407"/>
      <c r="F62" s="384" t="s">
        <v>200</v>
      </c>
      <c r="G62" s="406"/>
    </row>
    <row r="63" spans="1:7" ht="82.5" customHeight="1">
      <c r="A63" s="384">
        <f t="shared" si="1"/>
        <v>80</v>
      </c>
      <c r="B63" s="388" t="s">
        <v>151</v>
      </c>
      <c r="C63" s="384" t="s">
        <v>201</v>
      </c>
      <c r="D63" s="406"/>
      <c r="E63" s="407"/>
      <c r="F63" s="384" t="s">
        <v>201</v>
      </c>
      <c r="G63" s="406"/>
    </row>
    <row r="64" spans="1:7" ht="34.200000000000003">
      <c r="A64" s="384">
        <f t="shared" si="1"/>
        <v>84</v>
      </c>
      <c r="B64" s="388" t="s">
        <v>148</v>
      </c>
      <c r="C64" s="388" t="s">
        <v>202</v>
      </c>
      <c r="D64" s="408" t="s">
        <v>203</v>
      </c>
      <c r="E64" s="409"/>
      <c r="F64" s="388" t="s">
        <v>202</v>
      </c>
      <c r="G64" s="408" t="s">
        <v>203</v>
      </c>
    </row>
    <row r="65" spans="1:7" ht="34.200000000000003">
      <c r="A65" s="384">
        <f t="shared" si="1"/>
        <v>87</v>
      </c>
      <c r="B65" s="396">
        <v>2</v>
      </c>
      <c r="C65" s="393" t="s">
        <v>204</v>
      </c>
      <c r="D65" s="367" t="s">
        <v>205</v>
      </c>
      <c r="E65" s="374"/>
      <c r="F65" s="393" t="s">
        <v>204</v>
      </c>
      <c r="G65" s="367" t="s">
        <v>205</v>
      </c>
    </row>
    <row r="66" spans="1:7" ht="34.200000000000003">
      <c r="A66" s="410">
        <f t="shared" si="1"/>
        <v>89</v>
      </c>
      <c r="B66" s="396">
        <v>2</v>
      </c>
      <c r="C66" s="393" t="s">
        <v>206</v>
      </c>
      <c r="D66" s="367" t="s">
        <v>205</v>
      </c>
      <c r="E66" s="374"/>
      <c r="F66" s="411" t="s">
        <v>207</v>
      </c>
      <c r="G66" s="411" t="s">
        <v>205</v>
      </c>
    </row>
    <row r="67" spans="1:7" ht="34.200000000000003">
      <c r="A67" s="410">
        <f t="shared" si="1"/>
        <v>91</v>
      </c>
      <c r="B67" s="396">
        <v>2</v>
      </c>
      <c r="C67" s="393" t="s">
        <v>208</v>
      </c>
      <c r="D67" s="367" t="s">
        <v>205</v>
      </c>
      <c r="E67" s="374"/>
      <c r="F67" s="411" t="s">
        <v>209</v>
      </c>
      <c r="G67" s="411" t="s">
        <v>205</v>
      </c>
    </row>
    <row r="68" spans="1:7">
      <c r="A68" s="384">
        <f t="shared" si="1"/>
        <v>93</v>
      </c>
      <c r="B68" s="388"/>
      <c r="C68" s="382" t="s">
        <v>210</v>
      </c>
      <c r="E68" s="374"/>
      <c r="F68" s="382" t="s">
        <v>210</v>
      </c>
      <c r="G68" s="367"/>
    </row>
    <row r="69" spans="1:7" ht="193.8">
      <c r="A69" s="384">
        <f t="shared" si="1"/>
        <v>93</v>
      </c>
      <c r="B69" s="388" t="s">
        <v>163</v>
      </c>
      <c r="C69" s="388" t="s">
        <v>184</v>
      </c>
      <c r="D69" s="399" t="s">
        <v>185</v>
      </c>
      <c r="E69" s="400"/>
      <c r="F69" s="388" t="s">
        <v>184</v>
      </c>
      <c r="G69" s="399" t="s">
        <v>185</v>
      </c>
    </row>
    <row r="70" spans="1:7" ht="45.6">
      <c r="A70" s="384">
        <f t="shared" si="1"/>
        <v>94</v>
      </c>
      <c r="B70" s="384" t="s">
        <v>151</v>
      </c>
      <c r="C70" s="384" t="s">
        <v>186</v>
      </c>
      <c r="D70" s="367" t="s">
        <v>157</v>
      </c>
      <c r="E70" s="374"/>
      <c r="F70" s="384" t="s">
        <v>186</v>
      </c>
      <c r="G70" s="367" t="s">
        <v>157</v>
      </c>
    </row>
    <row r="71" spans="1:7" ht="34.200000000000003">
      <c r="A71" s="384">
        <f t="shared" si="1"/>
        <v>98</v>
      </c>
      <c r="B71" s="384" t="s">
        <v>163</v>
      </c>
      <c r="C71" s="388" t="s">
        <v>187</v>
      </c>
      <c r="D71" s="401" t="s">
        <v>188</v>
      </c>
      <c r="E71" s="391"/>
      <c r="F71" s="388" t="s">
        <v>187</v>
      </c>
      <c r="G71" s="401" t="s">
        <v>188</v>
      </c>
    </row>
    <row r="72" spans="1:7" ht="57">
      <c r="A72" s="384">
        <f t="shared" si="1"/>
        <v>99</v>
      </c>
      <c r="B72" s="384" t="s">
        <v>163</v>
      </c>
      <c r="C72" s="384" t="s">
        <v>189</v>
      </c>
      <c r="D72" s="401" t="s">
        <v>190</v>
      </c>
      <c r="E72" s="391"/>
      <c r="F72" s="384" t="s">
        <v>189</v>
      </c>
      <c r="G72" s="401" t="s">
        <v>190</v>
      </c>
    </row>
    <row r="73" spans="1:7" ht="45.6">
      <c r="A73" s="384">
        <f t="shared" si="1"/>
        <v>100</v>
      </c>
      <c r="B73" s="384" t="s">
        <v>163</v>
      </c>
      <c r="C73" s="384" t="s">
        <v>191</v>
      </c>
      <c r="D73" s="402" t="s">
        <v>211</v>
      </c>
      <c r="E73" s="374"/>
      <c r="F73" s="384" t="s">
        <v>191</v>
      </c>
      <c r="G73" s="402" t="s">
        <v>211</v>
      </c>
    </row>
    <row r="74" spans="1:7" ht="45.6">
      <c r="A74" s="403">
        <f t="shared" si="1"/>
        <v>101</v>
      </c>
      <c r="B74" s="404" t="s">
        <v>163</v>
      </c>
      <c r="C74" s="404" t="s">
        <v>193</v>
      </c>
      <c r="D74" s="405" t="s">
        <v>194</v>
      </c>
      <c r="E74" s="405"/>
      <c r="F74" s="404" t="s">
        <v>193</v>
      </c>
      <c r="G74" s="405" t="s">
        <v>194</v>
      </c>
    </row>
    <row r="75" spans="1:7" ht="34.200000000000003">
      <c r="A75" s="384">
        <f t="shared" si="1"/>
        <v>102</v>
      </c>
      <c r="B75" s="388">
        <v>3</v>
      </c>
      <c r="C75" s="388" t="s">
        <v>195</v>
      </c>
      <c r="D75" s="367" t="s">
        <v>212</v>
      </c>
      <c r="E75" s="374"/>
      <c r="F75" s="388" t="s">
        <v>195</v>
      </c>
      <c r="G75" s="367" t="s">
        <v>212</v>
      </c>
    </row>
    <row r="76" spans="1:7" ht="12.75" customHeight="1">
      <c r="A76" s="384">
        <f t="shared" si="1"/>
        <v>105</v>
      </c>
      <c r="B76" s="384" t="s">
        <v>163</v>
      </c>
      <c r="C76" s="384" t="s">
        <v>197</v>
      </c>
      <c r="D76" s="491" t="s">
        <v>144</v>
      </c>
      <c r="E76" s="374"/>
      <c r="F76" s="384" t="s">
        <v>197</v>
      </c>
      <c r="G76" s="491" t="s">
        <v>144</v>
      </c>
    </row>
    <row r="77" spans="1:7">
      <c r="A77" s="384">
        <f t="shared" si="1"/>
        <v>106</v>
      </c>
      <c r="B77" s="388" t="s">
        <v>163</v>
      </c>
      <c r="C77" s="384" t="s">
        <v>198</v>
      </c>
      <c r="D77" s="491"/>
      <c r="E77" s="374"/>
      <c r="F77" s="384" t="s">
        <v>198</v>
      </c>
      <c r="G77" s="491"/>
    </row>
    <row r="78" spans="1:7">
      <c r="A78" s="384">
        <f t="shared" si="1"/>
        <v>107</v>
      </c>
      <c r="B78" s="384" t="s">
        <v>163</v>
      </c>
      <c r="C78" s="384" t="s">
        <v>199</v>
      </c>
      <c r="D78" s="491"/>
      <c r="E78" s="374"/>
      <c r="F78" s="384" t="s">
        <v>199</v>
      </c>
      <c r="G78" s="491"/>
    </row>
    <row r="79" spans="1:7">
      <c r="A79" s="384">
        <f t="shared" si="1"/>
        <v>108</v>
      </c>
      <c r="B79" s="388" t="s">
        <v>151</v>
      </c>
      <c r="C79" s="384" t="s">
        <v>200</v>
      </c>
      <c r="D79" s="406"/>
      <c r="E79" s="407"/>
      <c r="F79" s="384" t="s">
        <v>200</v>
      </c>
      <c r="G79" s="406"/>
    </row>
    <row r="80" spans="1:7" ht="84.75" customHeight="1">
      <c r="A80" s="384">
        <f t="shared" si="1"/>
        <v>112</v>
      </c>
      <c r="B80" s="388" t="s">
        <v>151</v>
      </c>
      <c r="C80" s="384" t="s">
        <v>201</v>
      </c>
      <c r="D80" s="406"/>
      <c r="E80" s="407"/>
      <c r="F80" s="384" t="s">
        <v>201</v>
      </c>
      <c r="G80" s="406"/>
    </row>
    <row r="81" spans="1:7" ht="34.200000000000003">
      <c r="A81" s="384">
        <f t="shared" si="1"/>
        <v>116</v>
      </c>
      <c r="B81" s="388" t="s">
        <v>148</v>
      </c>
      <c r="C81" s="388" t="s">
        <v>202</v>
      </c>
      <c r="D81" s="408" t="s">
        <v>203</v>
      </c>
      <c r="E81" s="409"/>
      <c r="F81" s="388" t="s">
        <v>202</v>
      </c>
      <c r="G81" s="408" t="s">
        <v>203</v>
      </c>
    </row>
    <row r="82" spans="1:7" ht="34.200000000000003">
      <c r="A82" s="384">
        <f t="shared" si="1"/>
        <v>119</v>
      </c>
      <c r="B82" s="396">
        <v>2</v>
      </c>
      <c r="C82" s="393" t="s">
        <v>204</v>
      </c>
      <c r="D82" s="367" t="s">
        <v>213</v>
      </c>
      <c r="E82" s="374"/>
      <c r="F82" s="393" t="s">
        <v>204</v>
      </c>
      <c r="G82" s="367" t="s">
        <v>213</v>
      </c>
    </row>
    <row r="83" spans="1:7" ht="34.200000000000003">
      <c r="A83" s="410">
        <f t="shared" si="1"/>
        <v>121</v>
      </c>
      <c r="B83" s="396">
        <v>2</v>
      </c>
      <c r="C83" s="393" t="s">
        <v>206</v>
      </c>
      <c r="D83" s="367" t="s">
        <v>214</v>
      </c>
      <c r="E83" s="374"/>
      <c r="F83" s="411" t="s">
        <v>207</v>
      </c>
      <c r="G83" s="411" t="s">
        <v>205</v>
      </c>
    </row>
    <row r="84" spans="1:7" ht="34.200000000000003">
      <c r="A84" s="410">
        <f t="shared" si="1"/>
        <v>123</v>
      </c>
      <c r="B84" s="396">
        <v>2</v>
      </c>
      <c r="C84" s="393" t="s">
        <v>208</v>
      </c>
      <c r="D84" s="367" t="s">
        <v>214</v>
      </c>
      <c r="E84" s="374"/>
      <c r="F84" s="411" t="s">
        <v>209</v>
      </c>
      <c r="G84" s="411" t="s">
        <v>205</v>
      </c>
    </row>
    <row r="85" spans="1:7">
      <c r="A85" s="384">
        <f t="shared" si="1"/>
        <v>125</v>
      </c>
      <c r="B85" s="388"/>
      <c r="C85" s="395" t="s">
        <v>215</v>
      </c>
      <c r="E85" s="374"/>
      <c r="F85" s="395" t="s">
        <v>215</v>
      </c>
      <c r="G85" s="367"/>
    </row>
    <row r="86" spans="1:7" ht="193.8">
      <c r="A86" s="384">
        <f t="shared" si="1"/>
        <v>125</v>
      </c>
      <c r="B86" s="388" t="s">
        <v>163</v>
      </c>
      <c r="C86" s="388" t="s">
        <v>184</v>
      </c>
      <c r="D86" s="399" t="s">
        <v>185</v>
      </c>
      <c r="E86" s="400"/>
      <c r="F86" s="388" t="s">
        <v>184</v>
      </c>
      <c r="G86" s="399" t="s">
        <v>185</v>
      </c>
    </row>
    <row r="87" spans="1:7" ht="45.6">
      <c r="A87" s="384">
        <f t="shared" si="1"/>
        <v>126</v>
      </c>
      <c r="B87" s="384" t="s">
        <v>151</v>
      </c>
      <c r="C87" s="384" t="s">
        <v>186</v>
      </c>
      <c r="D87" s="367" t="s">
        <v>157</v>
      </c>
      <c r="E87" s="374"/>
      <c r="F87" s="384" t="s">
        <v>186</v>
      </c>
      <c r="G87" s="367" t="s">
        <v>157</v>
      </c>
    </row>
    <row r="88" spans="1:7" ht="34.200000000000003">
      <c r="A88" s="384">
        <f t="shared" si="1"/>
        <v>130</v>
      </c>
      <c r="B88" s="384" t="s">
        <v>163</v>
      </c>
      <c r="C88" s="388" t="s">
        <v>187</v>
      </c>
      <c r="D88" s="401" t="s">
        <v>188</v>
      </c>
      <c r="E88" s="391"/>
      <c r="F88" s="388" t="s">
        <v>187</v>
      </c>
      <c r="G88" s="401" t="s">
        <v>188</v>
      </c>
    </row>
    <row r="89" spans="1:7" ht="57">
      <c r="A89" s="384">
        <f t="shared" si="1"/>
        <v>131</v>
      </c>
      <c r="B89" s="384" t="s">
        <v>163</v>
      </c>
      <c r="C89" s="384" t="s">
        <v>189</v>
      </c>
      <c r="D89" s="401" t="s">
        <v>190</v>
      </c>
      <c r="E89" s="391"/>
      <c r="F89" s="384" t="s">
        <v>189</v>
      </c>
      <c r="G89" s="401" t="s">
        <v>190</v>
      </c>
    </row>
    <row r="90" spans="1:7" ht="45.6">
      <c r="A90" s="384">
        <f t="shared" ref="A90:A153" si="2">A89+B89</f>
        <v>132</v>
      </c>
      <c r="B90" s="384" t="s">
        <v>163</v>
      </c>
      <c r="C90" s="384" t="s">
        <v>191</v>
      </c>
      <c r="D90" s="402" t="s">
        <v>211</v>
      </c>
      <c r="E90" s="374"/>
      <c r="F90" s="384" t="s">
        <v>191</v>
      </c>
      <c r="G90" s="402" t="s">
        <v>211</v>
      </c>
    </row>
    <row r="91" spans="1:7" ht="45.6">
      <c r="A91" s="403">
        <f t="shared" si="2"/>
        <v>133</v>
      </c>
      <c r="B91" s="404" t="s">
        <v>163</v>
      </c>
      <c r="C91" s="404" t="s">
        <v>193</v>
      </c>
      <c r="D91" s="405" t="s">
        <v>194</v>
      </c>
      <c r="E91" s="405"/>
      <c r="F91" s="404" t="s">
        <v>193</v>
      </c>
      <c r="G91" s="405" t="s">
        <v>194</v>
      </c>
    </row>
    <row r="92" spans="1:7" ht="34.200000000000003">
      <c r="A92" s="384">
        <f t="shared" si="2"/>
        <v>134</v>
      </c>
      <c r="B92" s="388">
        <v>3</v>
      </c>
      <c r="C92" s="388" t="s">
        <v>195</v>
      </c>
      <c r="D92" s="367" t="s">
        <v>212</v>
      </c>
      <c r="E92" s="374"/>
      <c r="F92" s="388" t="s">
        <v>195</v>
      </c>
      <c r="G92" s="367" t="s">
        <v>216</v>
      </c>
    </row>
    <row r="93" spans="1:7" ht="12.75" customHeight="1">
      <c r="A93" s="384">
        <f t="shared" si="2"/>
        <v>137</v>
      </c>
      <c r="B93" s="384" t="s">
        <v>163</v>
      </c>
      <c r="C93" s="384" t="s">
        <v>197</v>
      </c>
      <c r="D93" s="491" t="s">
        <v>144</v>
      </c>
      <c r="E93" s="374"/>
      <c r="F93" s="384" t="s">
        <v>197</v>
      </c>
      <c r="G93" s="491" t="s">
        <v>144</v>
      </c>
    </row>
    <row r="94" spans="1:7">
      <c r="A94" s="384">
        <f t="shared" si="2"/>
        <v>138</v>
      </c>
      <c r="B94" s="388" t="s">
        <v>163</v>
      </c>
      <c r="C94" s="384" t="s">
        <v>198</v>
      </c>
      <c r="D94" s="491"/>
      <c r="E94" s="374"/>
      <c r="F94" s="384" t="s">
        <v>198</v>
      </c>
      <c r="G94" s="491"/>
    </row>
    <row r="95" spans="1:7">
      <c r="A95" s="384">
        <f t="shared" si="2"/>
        <v>139</v>
      </c>
      <c r="B95" s="384" t="s">
        <v>163</v>
      </c>
      <c r="C95" s="384" t="s">
        <v>199</v>
      </c>
      <c r="D95" s="491"/>
      <c r="E95" s="374"/>
      <c r="F95" s="384" t="s">
        <v>199</v>
      </c>
      <c r="G95" s="491"/>
    </row>
    <row r="96" spans="1:7" ht="12.75" customHeight="1">
      <c r="A96" s="384">
        <f t="shared" si="2"/>
        <v>140</v>
      </c>
      <c r="B96" s="388" t="s">
        <v>151</v>
      </c>
      <c r="C96" s="384" t="s">
        <v>200</v>
      </c>
      <c r="D96" s="406"/>
      <c r="E96" s="407"/>
      <c r="F96" s="384" t="s">
        <v>200</v>
      </c>
      <c r="G96" s="406"/>
    </row>
    <row r="97" spans="1:7" ht="84.75" customHeight="1">
      <c r="A97" s="384">
        <f t="shared" si="2"/>
        <v>144</v>
      </c>
      <c r="B97" s="388" t="s">
        <v>151</v>
      </c>
      <c r="C97" s="384" t="s">
        <v>201</v>
      </c>
      <c r="D97" s="406"/>
      <c r="E97" s="407"/>
      <c r="F97" s="384" t="s">
        <v>201</v>
      </c>
      <c r="G97" s="406"/>
    </row>
    <row r="98" spans="1:7" ht="34.200000000000003">
      <c r="A98" s="384">
        <f t="shared" si="2"/>
        <v>148</v>
      </c>
      <c r="B98" s="388" t="s">
        <v>148</v>
      </c>
      <c r="C98" s="388" t="s">
        <v>202</v>
      </c>
      <c r="D98" s="408" t="s">
        <v>203</v>
      </c>
      <c r="E98" s="409"/>
      <c r="F98" s="388" t="s">
        <v>202</v>
      </c>
      <c r="G98" s="408" t="s">
        <v>203</v>
      </c>
    </row>
    <row r="99" spans="1:7" ht="34.200000000000003">
      <c r="A99" s="384">
        <f t="shared" si="2"/>
        <v>151</v>
      </c>
      <c r="B99" s="396">
        <v>2</v>
      </c>
      <c r="C99" s="393" t="s">
        <v>204</v>
      </c>
      <c r="D99" s="367" t="s">
        <v>213</v>
      </c>
      <c r="E99" s="374"/>
      <c r="F99" s="393" t="s">
        <v>204</v>
      </c>
      <c r="G99" s="367" t="s">
        <v>213</v>
      </c>
    </row>
    <row r="100" spans="1:7" ht="34.200000000000003">
      <c r="A100" s="410">
        <f t="shared" si="2"/>
        <v>153</v>
      </c>
      <c r="B100" s="396">
        <v>2</v>
      </c>
      <c r="C100" s="393" t="s">
        <v>206</v>
      </c>
      <c r="D100" s="367" t="s">
        <v>214</v>
      </c>
      <c r="E100" s="374"/>
      <c r="F100" s="411" t="s">
        <v>207</v>
      </c>
      <c r="G100" s="411" t="s">
        <v>205</v>
      </c>
    </row>
    <row r="101" spans="1:7" ht="34.200000000000003">
      <c r="A101" s="410">
        <f t="shared" si="2"/>
        <v>155</v>
      </c>
      <c r="B101" s="396">
        <v>2</v>
      </c>
      <c r="C101" s="393" t="s">
        <v>208</v>
      </c>
      <c r="D101" s="367" t="s">
        <v>214</v>
      </c>
      <c r="E101" s="374"/>
      <c r="F101" s="411" t="s">
        <v>209</v>
      </c>
      <c r="G101" s="411" t="s">
        <v>205</v>
      </c>
    </row>
    <row r="102" spans="1:7">
      <c r="A102" s="384">
        <f t="shared" si="2"/>
        <v>157</v>
      </c>
      <c r="B102" s="388"/>
      <c r="C102" s="395" t="s">
        <v>217</v>
      </c>
      <c r="E102" s="374"/>
      <c r="F102" s="395" t="s">
        <v>217</v>
      </c>
      <c r="G102" s="367"/>
    </row>
    <row r="103" spans="1:7" ht="193.8">
      <c r="A103" s="384">
        <f t="shared" si="2"/>
        <v>157</v>
      </c>
      <c r="B103" s="388" t="s">
        <v>163</v>
      </c>
      <c r="C103" s="388" t="s">
        <v>184</v>
      </c>
      <c r="D103" s="399" t="s">
        <v>185</v>
      </c>
      <c r="E103" s="400"/>
      <c r="F103" s="388" t="s">
        <v>184</v>
      </c>
      <c r="G103" s="399" t="s">
        <v>185</v>
      </c>
    </row>
    <row r="104" spans="1:7" ht="45.6">
      <c r="A104" s="384">
        <f t="shared" si="2"/>
        <v>158</v>
      </c>
      <c r="B104" s="384" t="s">
        <v>151</v>
      </c>
      <c r="C104" s="384" t="s">
        <v>186</v>
      </c>
      <c r="D104" s="367" t="s">
        <v>157</v>
      </c>
      <c r="E104" s="374"/>
      <c r="F104" s="384" t="s">
        <v>186</v>
      </c>
      <c r="G104" s="367" t="s">
        <v>157</v>
      </c>
    </row>
    <row r="105" spans="1:7" ht="34.200000000000003">
      <c r="A105" s="384">
        <f t="shared" si="2"/>
        <v>162</v>
      </c>
      <c r="B105" s="384" t="s">
        <v>163</v>
      </c>
      <c r="C105" s="388" t="s">
        <v>187</v>
      </c>
      <c r="D105" s="401" t="s">
        <v>188</v>
      </c>
      <c r="E105" s="391"/>
      <c r="F105" s="388" t="s">
        <v>187</v>
      </c>
      <c r="G105" s="401" t="s">
        <v>188</v>
      </c>
    </row>
    <row r="106" spans="1:7" ht="57">
      <c r="A106" s="384">
        <f t="shared" si="2"/>
        <v>163</v>
      </c>
      <c r="B106" s="384" t="s">
        <v>163</v>
      </c>
      <c r="C106" s="384" t="s">
        <v>189</v>
      </c>
      <c r="D106" s="401" t="s">
        <v>190</v>
      </c>
      <c r="E106" s="391"/>
      <c r="F106" s="384" t="s">
        <v>189</v>
      </c>
      <c r="G106" s="401" t="s">
        <v>190</v>
      </c>
    </row>
    <row r="107" spans="1:7" ht="45.6">
      <c r="A107" s="384">
        <f t="shared" si="2"/>
        <v>164</v>
      </c>
      <c r="B107" s="384" t="s">
        <v>163</v>
      </c>
      <c r="C107" s="384" t="s">
        <v>191</v>
      </c>
      <c r="D107" s="402" t="s">
        <v>211</v>
      </c>
      <c r="E107" s="374"/>
      <c r="F107" s="384" t="s">
        <v>191</v>
      </c>
      <c r="G107" s="402" t="s">
        <v>211</v>
      </c>
    </row>
    <row r="108" spans="1:7" ht="45.6">
      <c r="A108" s="403">
        <f t="shared" si="2"/>
        <v>165</v>
      </c>
      <c r="B108" s="404" t="s">
        <v>163</v>
      </c>
      <c r="C108" s="404" t="s">
        <v>193</v>
      </c>
      <c r="D108" s="405" t="s">
        <v>194</v>
      </c>
      <c r="E108" s="405"/>
      <c r="F108" s="404" t="s">
        <v>193</v>
      </c>
      <c r="G108" s="405" t="s">
        <v>194</v>
      </c>
    </row>
    <row r="109" spans="1:7" ht="34.200000000000003">
      <c r="A109" s="384">
        <f t="shared" si="2"/>
        <v>166</v>
      </c>
      <c r="B109" s="388">
        <v>3</v>
      </c>
      <c r="C109" s="388" t="s">
        <v>195</v>
      </c>
      <c r="D109" s="367" t="s">
        <v>212</v>
      </c>
      <c r="E109" s="374"/>
      <c r="F109" s="388" t="s">
        <v>195</v>
      </c>
      <c r="G109" s="367" t="s">
        <v>212</v>
      </c>
    </row>
    <row r="110" spans="1:7" ht="12.75" customHeight="1">
      <c r="A110" s="384">
        <f t="shared" si="2"/>
        <v>169</v>
      </c>
      <c r="B110" s="384" t="s">
        <v>163</v>
      </c>
      <c r="C110" s="384" t="s">
        <v>197</v>
      </c>
      <c r="D110" s="491" t="s">
        <v>144</v>
      </c>
      <c r="E110" s="374"/>
      <c r="F110" s="384" t="s">
        <v>197</v>
      </c>
      <c r="G110" s="491" t="s">
        <v>144</v>
      </c>
    </row>
    <row r="111" spans="1:7">
      <c r="A111" s="384">
        <f t="shared" si="2"/>
        <v>170</v>
      </c>
      <c r="B111" s="388" t="s">
        <v>163</v>
      </c>
      <c r="C111" s="384" t="s">
        <v>198</v>
      </c>
      <c r="D111" s="491"/>
      <c r="E111" s="374"/>
      <c r="F111" s="384" t="s">
        <v>198</v>
      </c>
      <c r="G111" s="491"/>
    </row>
    <row r="112" spans="1:7">
      <c r="A112" s="384">
        <f t="shared" si="2"/>
        <v>171</v>
      </c>
      <c r="B112" s="384" t="s">
        <v>163</v>
      </c>
      <c r="C112" s="384" t="s">
        <v>199</v>
      </c>
      <c r="D112" s="491"/>
      <c r="E112" s="374"/>
      <c r="F112" s="384" t="s">
        <v>199</v>
      </c>
      <c r="G112" s="491"/>
    </row>
    <row r="113" spans="1:7" ht="12.75" customHeight="1">
      <c r="A113" s="384">
        <f t="shared" si="2"/>
        <v>172</v>
      </c>
      <c r="B113" s="388" t="s">
        <v>151</v>
      </c>
      <c r="C113" s="384" t="s">
        <v>200</v>
      </c>
      <c r="D113" s="406"/>
      <c r="E113" s="407"/>
      <c r="F113" s="384" t="s">
        <v>200</v>
      </c>
      <c r="G113" s="406"/>
    </row>
    <row r="114" spans="1:7" ht="83.25" customHeight="1">
      <c r="A114" s="384">
        <f t="shared" si="2"/>
        <v>176</v>
      </c>
      <c r="B114" s="388" t="s">
        <v>151</v>
      </c>
      <c r="C114" s="384" t="s">
        <v>201</v>
      </c>
      <c r="D114" s="406"/>
      <c r="E114" s="407"/>
      <c r="F114" s="384" t="s">
        <v>201</v>
      </c>
      <c r="G114" s="406"/>
    </row>
    <row r="115" spans="1:7" ht="34.200000000000003">
      <c r="A115" s="384">
        <f t="shared" si="2"/>
        <v>180</v>
      </c>
      <c r="B115" s="388" t="s">
        <v>148</v>
      </c>
      <c r="C115" s="388" t="s">
        <v>202</v>
      </c>
      <c r="D115" s="408" t="s">
        <v>203</v>
      </c>
      <c r="E115" s="409"/>
      <c r="F115" s="388" t="s">
        <v>202</v>
      </c>
      <c r="G115" s="408" t="s">
        <v>203</v>
      </c>
    </row>
    <row r="116" spans="1:7" ht="34.200000000000003">
      <c r="A116" s="384">
        <f t="shared" si="2"/>
        <v>183</v>
      </c>
      <c r="B116" s="396">
        <v>2</v>
      </c>
      <c r="C116" s="393" t="s">
        <v>204</v>
      </c>
      <c r="D116" s="367" t="s">
        <v>213</v>
      </c>
      <c r="E116" s="374"/>
      <c r="F116" s="393" t="s">
        <v>204</v>
      </c>
      <c r="G116" s="367" t="s">
        <v>213</v>
      </c>
    </row>
    <row r="117" spans="1:7" ht="34.200000000000003">
      <c r="A117" s="410">
        <f t="shared" si="2"/>
        <v>185</v>
      </c>
      <c r="B117" s="396">
        <v>2</v>
      </c>
      <c r="C117" s="393" t="s">
        <v>206</v>
      </c>
      <c r="D117" s="367" t="s">
        <v>214</v>
      </c>
      <c r="E117" s="374"/>
      <c r="F117" s="411" t="s">
        <v>207</v>
      </c>
      <c r="G117" s="411" t="s">
        <v>205</v>
      </c>
    </row>
    <row r="118" spans="1:7" ht="34.200000000000003">
      <c r="A118" s="410">
        <f t="shared" si="2"/>
        <v>187</v>
      </c>
      <c r="B118" s="396">
        <v>2</v>
      </c>
      <c r="C118" s="393" t="s">
        <v>208</v>
      </c>
      <c r="D118" s="367" t="s">
        <v>214</v>
      </c>
      <c r="E118" s="374"/>
      <c r="F118" s="411" t="s">
        <v>209</v>
      </c>
      <c r="G118" s="411" t="s">
        <v>205</v>
      </c>
    </row>
    <row r="119" spans="1:7">
      <c r="A119" s="384">
        <f t="shared" si="2"/>
        <v>189</v>
      </c>
      <c r="B119" s="388"/>
      <c r="C119" s="382" t="s">
        <v>218</v>
      </c>
      <c r="E119" s="374"/>
      <c r="F119" s="382" t="s">
        <v>218</v>
      </c>
      <c r="G119" s="367"/>
    </row>
    <row r="120" spans="1:7" ht="22.8">
      <c r="A120" s="384">
        <f t="shared" si="2"/>
        <v>189</v>
      </c>
      <c r="B120" s="388" t="s">
        <v>148</v>
      </c>
      <c r="C120" s="393" t="s">
        <v>219</v>
      </c>
      <c r="D120" s="367" t="s">
        <v>220</v>
      </c>
      <c r="E120" s="374"/>
      <c r="F120" s="393" t="s">
        <v>219</v>
      </c>
      <c r="G120" s="367" t="s">
        <v>220</v>
      </c>
    </row>
    <row r="121" spans="1:7" ht="22.8">
      <c r="A121" s="384">
        <f t="shared" si="2"/>
        <v>192</v>
      </c>
      <c r="B121" s="388">
        <v>3</v>
      </c>
      <c r="C121" s="393" t="s">
        <v>221</v>
      </c>
      <c r="D121" s="367" t="s">
        <v>220</v>
      </c>
      <c r="E121" s="374"/>
      <c r="F121" s="393" t="s">
        <v>221</v>
      </c>
      <c r="G121" s="367" t="s">
        <v>220</v>
      </c>
    </row>
    <row r="122" spans="1:7" ht="22.8">
      <c r="A122" s="384">
        <f t="shared" si="2"/>
        <v>195</v>
      </c>
      <c r="B122" s="388">
        <v>3</v>
      </c>
      <c r="C122" s="393" t="s">
        <v>222</v>
      </c>
      <c r="D122" s="367" t="s">
        <v>220</v>
      </c>
      <c r="E122" s="374"/>
      <c r="F122" s="393" t="s">
        <v>222</v>
      </c>
      <c r="G122" s="367" t="s">
        <v>220</v>
      </c>
    </row>
    <row r="123" spans="1:7" ht="22.8">
      <c r="A123" s="384">
        <f t="shared" si="2"/>
        <v>198</v>
      </c>
      <c r="B123" s="388">
        <v>3</v>
      </c>
      <c r="C123" s="393" t="s">
        <v>223</v>
      </c>
      <c r="D123" s="367" t="s">
        <v>220</v>
      </c>
      <c r="E123" s="374"/>
      <c r="F123" s="393" t="s">
        <v>223</v>
      </c>
      <c r="G123" s="367" t="s">
        <v>220</v>
      </c>
    </row>
    <row r="124" spans="1:7" ht="24" customHeight="1">
      <c r="A124" s="384">
        <f t="shared" si="2"/>
        <v>201</v>
      </c>
      <c r="B124" s="388" t="s">
        <v>163</v>
      </c>
      <c r="C124" s="388" t="s">
        <v>224</v>
      </c>
      <c r="D124" s="492" t="s">
        <v>144</v>
      </c>
      <c r="E124" s="413"/>
      <c r="F124" s="388" t="s">
        <v>224</v>
      </c>
      <c r="G124" s="492" t="s">
        <v>144</v>
      </c>
    </row>
    <row r="125" spans="1:7">
      <c r="A125" s="384">
        <f t="shared" si="2"/>
        <v>202</v>
      </c>
      <c r="B125" s="388" t="s">
        <v>163</v>
      </c>
      <c r="C125" s="388" t="s">
        <v>225</v>
      </c>
      <c r="D125" s="492"/>
      <c r="E125" s="413"/>
      <c r="F125" s="388" t="s">
        <v>225</v>
      </c>
      <c r="G125" s="492"/>
    </row>
    <row r="126" spans="1:7">
      <c r="A126" s="384">
        <f t="shared" si="2"/>
        <v>203</v>
      </c>
      <c r="B126" s="388" t="s">
        <v>163</v>
      </c>
      <c r="C126" s="388" t="s">
        <v>226</v>
      </c>
      <c r="D126" s="492"/>
      <c r="E126" s="413"/>
      <c r="F126" s="388" t="s">
        <v>226</v>
      </c>
      <c r="G126" s="492"/>
    </row>
    <row r="127" spans="1:7">
      <c r="A127" s="384">
        <f t="shared" si="2"/>
        <v>204</v>
      </c>
      <c r="B127" s="388" t="s">
        <v>163</v>
      </c>
      <c r="C127" s="388" t="s">
        <v>227</v>
      </c>
      <c r="D127" s="492"/>
      <c r="E127" s="413"/>
      <c r="F127" s="388" t="s">
        <v>227</v>
      </c>
      <c r="G127" s="492"/>
    </row>
    <row r="128" spans="1:7">
      <c r="A128" s="384">
        <f t="shared" si="2"/>
        <v>205</v>
      </c>
      <c r="B128" s="388" t="s">
        <v>163</v>
      </c>
      <c r="C128" s="388" t="s">
        <v>228</v>
      </c>
      <c r="D128" s="492"/>
      <c r="E128" s="413"/>
      <c r="F128" s="388" t="s">
        <v>228</v>
      </c>
      <c r="G128" s="492"/>
    </row>
    <row r="129" spans="1:9">
      <c r="A129" s="384">
        <f t="shared" si="2"/>
        <v>206</v>
      </c>
      <c r="B129" s="388" t="s">
        <v>163</v>
      </c>
      <c r="C129" s="388" t="s">
        <v>229</v>
      </c>
      <c r="D129" s="492"/>
      <c r="E129" s="413"/>
      <c r="F129" s="388" t="s">
        <v>229</v>
      </c>
      <c r="G129" s="492"/>
    </row>
    <row r="130" spans="1:9">
      <c r="A130" s="384">
        <f t="shared" si="2"/>
        <v>207</v>
      </c>
      <c r="B130" s="388" t="s">
        <v>163</v>
      </c>
      <c r="C130" s="388" t="s">
        <v>230</v>
      </c>
      <c r="D130" s="492"/>
      <c r="E130" s="413"/>
      <c r="F130" s="388" t="s">
        <v>230</v>
      </c>
      <c r="G130" s="492"/>
    </row>
    <row r="131" spans="1:9">
      <c r="A131" s="384">
        <f t="shared" si="2"/>
        <v>208</v>
      </c>
      <c r="B131" s="388" t="s">
        <v>163</v>
      </c>
      <c r="C131" s="388" t="s">
        <v>231</v>
      </c>
      <c r="D131" s="492"/>
      <c r="E131" s="413"/>
      <c r="F131" s="388" t="s">
        <v>231</v>
      </c>
      <c r="G131" s="492"/>
    </row>
    <row r="132" spans="1:9">
      <c r="A132" s="384">
        <f t="shared" si="2"/>
        <v>209</v>
      </c>
      <c r="B132" s="388">
        <v>1</v>
      </c>
      <c r="C132" s="388" t="s">
        <v>232</v>
      </c>
      <c r="D132" s="492"/>
      <c r="E132" s="413"/>
      <c r="F132" s="388" t="s">
        <v>232</v>
      </c>
      <c r="G132" s="492"/>
    </row>
    <row r="133" spans="1:9">
      <c r="A133" s="384">
        <f t="shared" si="2"/>
        <v>210</v>
      </c>
      <c r="B133" s="388">
        <v>1</v>
      </c>
      <c r="C133" s="388" t="s">
        <v>233</v>
      </c>
      <c r="D133" s="492"/>
      <c r="E133" s="413"/>
      <c r="F133" s="388" t="s">
        <v>233</v>
      </c>
      <c r="G133" s="492"/>
    </row>
    <row r="134" spans="1:9">
      <c r="A134" s="384">
        <f t="shared" si="2"/>
        <v>211</v>
      </c>
      <c r="B134" s="388">
        <v>1</v>
      </c>
      <c r="C134" s="388" t="s">
        <v>234</v>
      </c>
      <c r="D134" s="492"/>
      <c r="E134" s="413"/>
      <c r="F134" s="388" t="s">
        <v>234</v>
      </c>
      <c r="G134" s="492"/>
    </row>
    <row r="135" spans="1:9" ht="12.75" customHeight="1">
      <c r="A135" s="384">
        <f t="shared" si="2"/>
        <v>212</v>
      </c>
      <c r="B135" s="384" t="s">
        <v>148</v>
      </c>
      <c r="C135" s="384" t="s">
        <v>235</v>
      </c>
      <c r="D135" s="491" t="s">
        <v>236</v>
      </c>
      <c r="E135" s="374"/>
      <c r="F135" s="384" t="s">
        <v>235</v>
      </c>
      <c r="G135" s="491" t="s">
        <v>236</v>
      </c>
      <c r="H135" s="502" t="s">
        <v>237</v>
      </c>
      <c r="I135" s="502" t="s">
        <v>167</v>
      </c>
    </row>
    <row r="136" spans="1:9" ht="48" customHeight="1">
      <c r="A136" s="384">
        <f t="shared" si="2"/>
        <v>215</v>
      </c>
      <c r="B136" s="384" t="s">
        <v>148</v>
      </c>
      <c r="C136" s="384" t="s">
        <v>238</v>
      </c>
      <c r="D136" s="491"/>
      <c r="E136" s="374"/>
      <c r="F136" s="384" t="s">
        <v>238</v>
      </c>
      <c r="G136" s="491"/>
      <c r="H136" s="503"/>
      <c r="I136" s="503"/>
    </row>
    <row r="137" spans="1:9" ht="34.200000000000003">
      <c r="A137" s="384">
        <f t="shared" si="2"/>
        <v>218</v>
      </c>
      <c r="B137" s="388" t="s">
        <v>163</v>
      </c>
      <c r="C137" s="388" t="s">
        <v>239</v>
      </c>
      <c r="D137" s="412" t="s">
        <v>240</v>
      </c>
      <c r="E137" s="413"/>
      <c r="F137" s="388" t="s">
        <v>239</v>
      </c>
      <c r="G137" s="412" t="s">
        <v>240</v>
      </c>
      <c r="H137" s="329" t="s">
        <v>241</v>
      </c>
      <c r="I137" s="329" t="s">
        <v>167</v>
      </c>
    </row>
    <row r="138" spans="1:9" ht="12.75" customHeight="1">
      <c r="A138" s="384">
        <f t="shared" si="2"/>
        <v>219</v>
      </c>
      <c r="B138" s="384" t="s">
        <v>148</v>
      </c>
      <c r="C138" s="384" t="s">
        <v>242</v>
      </c>
      <c r="D138" s="491" t="s">
        <v>243</v>
      </c>
      <c r="E138" s="374"/>
      <c r="F138" s="384" t="s">
        <v>242</v>
      </c>
      <c r="G138" s="491" t="s">
        <v>243</v>
      </c>
    </row>
    <row r="139" spans="1:9" ht="36" customHeight="1">
      <c r="A139" s="384">
        <f t="shared" si="2"/>
        <v>222</v>
      </c>
      <c r="B139" s="388" t="s">
        <v>148</v>
      </c>
      <c r="C139" s="384" t="s">
        <v>244</v>
      </c>
      <c r="D139" s="491"/>
      <c r="E139" s="374"/>
      <c r="F139" s="384" t="s">
        <v>244</v>
      </c>
      <c r="G139" s="491"/>
    </row>
    <row r="140" spans="1:9">
      <c r="A140" s="384">
        <f t="shared" si="2"/>
        <v>225</v>
      </c>
      <c r="B140" s="388"/>
      <c r="C140" s="382" t="s">
        <v>245</v>
      </c>
      <c r="E140" s="374"/>
      <c r="F140" s="382" t="s">
        <v>245</v>
      </c>
      <c r="G140" s="367"/>
    </row>
    <row r="141" spans="1:9" ht="22.8">
      <c r="A141" s="384">
        <f t="shared" si="2"/>
        <v>225</v>
      </c>
      <c r="B141" s="388" t="s">
        <v>148</v>
      </c>
      <c r="C141" s="393" t="s">
        <v>219</v>
      </c>
      <c r="D141" s="367" t="s">
        <v>220</v>
      </c>
      <c r="E141" s="374"/>
      <c r="F141" s="393" t="s">
        <v>219</v>
      </c>
      <c r="G141" s="367" t="s">
        <v>220</v>
      </c>
    </row>
    <row r="142" spans="1:9" ht="22.8">
      <c r="A142" s="384">
        <f t="shared" si="2"/>
        <v>228</v>
      </c>
      <c r="B142" s="388">
        <v>3</v>
      </c>
      <c r="C142" s="393" t="s">
        <v>221</v>
      </c>
      <c r="D142" s="367" t="s">
        <v>220</v>
      </c>
      <c r="E142" s="374"/>
      <c r="F142" s="393" t="s">
        <v>221</v>
      </c>
      <c r="G142" s="367" t="s">
        <v>220</v>
      </c>
    </row>
    <row r="143" spans="1:9" ht="22.8">
      <c r="A143" s="384">
        <f t="shared" si="2"/>
        <v>231</v>
      </c>
      <c r="B143" s="388">
        <v>3</v>
      </c>
      <c r="C143" s="393" t="s">
        <v>222</v>
      </c>
      <c r="D143" s="367" t="s">
        <v>220</v>
      </c>
      <c r="E143" s="374"/>
      <c r="F143" s="393" t="s">
        <v>222</v>
      </c>
      <c r="G143" s="367" t="s">
        <v>220</v>
      </c>
    </row>
    <row r="144" spans="1:9" ht="22.8">
      <c r="A144" s="384">
        <f t="shared" si="2"/>
        <v>234</v>
      </c>
      <c r="B144" s="388">
        <v>3</v>
      </c>
      <c r="C144" s="393" t="s">
        <v>223</v>
      </c>
      <c r="D144" s="367" t="s">
        <v>220</v>
      </c>
      <c r="E144" s="374"/>
      <c r="F144" s="393" t="s">
        <v>223</v>
      </c>
      <c r="G144" s="367" t="s">
        <v>220</v>
      </c>
    </row>
    <row r="145" spans="1:7" ht="12.75" customHeight="1">
      <c r="A145" s="384">
        <f t="shared" si="2"/>
        <v>237</v>
      </c>
      <c r="B145" s="388" t="s">
        <v>163</v>
      </c>
      <c r="C145" s="388" t="s">
        <v>224</v>
      </c>
      <c r="D145" s="492" t="s">
        <v>144</v>
      </c>
      <c r="E145" s="413"/>
      <c r="F145" s="388" t="s">
        <v>224</v>
      </c>
      <c r="G145" s="492" t="s">
        <v>144</v>
      </c>
    </row>
    <row r="146" spans="1:7">
      <c r="A146" s="384">
        <f t="shared" si="2"/>
        <v>238</v>
      </c>
      <c r="B146" s="388" t="s">
        <v>163</v>
      </c>
      <c r="C146" s="388" t="s">
        <v>225</v>
      </c>
      <c r="D146" s="492"/>
      <c r="E146" s="413"/>
      <c r="F146" s="388" t="s">
        <v>225</v>
      </c>
      <c r="G146" s="492"/>
    </row>
    <row r="147" spans="1:7">
      <c r="A147" s="384">
        <f t="shared" si="2"/>
        <v>239</v>
      </c>
      <c r="B147" s="388" t="s">
        <v>163</v>
      </c>
      <c r="C147" s="388" t="s">
        <v>226</v>
      </c>
      <c r="D147" s="492"/>
      <c r="E147" s="413"/>
      <c r="F147" s="388" t="s">
        <v>226</v>
      </c>
      <c r="G147" s="492"/>
    </row>
    <row r="148" spans="1:7">
      <c r="A148" s="384">
        <f t="shared" si="2"/>
        <v>240</v>
      </c>
      <c r="B148" s="388" t="s">
        <v>163</v>
      </c>
      <c r="C148" s="388" t="s">
        <v>227</v>
      </c>
      <c r="D148" s="492"/>
      <c r="E148" s="413"/>
      <c r="F148" s="388" t="s">
        <v>227</v>
      </c>
      <c r="G148" s="492"/>
    </row>
    <row r="149" spans="1:7">
      <c r="A149" s="384">
        <f t="shared" si="2"/>
        <v>241</v>
      </c>
      <c r="B149" s="388" t="s">
        <v>163</v>
      </c>
      <c r="C149" s="388" t="s">
        <v>228</v>
      </c>
      <c r="D149" s="492"/>
      <c r="E149" s="413"/>
      <c r="F149" s="388" t="s">
        <v>228</v>
      </c>
      <c r="G149" s="492"/>
    </row>
    <row r="150" spans="1:7">
      <c r="A150" s="384">
        <f t="shared" si="2"/>
        <v>242</v>
      </c>
      <c r="B150" s="388" t="s">
        <v>163</v>
      </c>
      <c r="C150" s="388" t="s">
        <v>229</v>
      </c>
      <c r="D150" s="492"/>
      <c r="E150" s="413"/>
      <c r="F150" s="388" t="s">
        <v>229</v>
      </c>
      <c r="G150" s="492"/>
    </row>
    <row r="151" spans="1:7">
      <c r="A151" s="384">
        <f t="shared" si="2"/>
        <v>243</v>
      </c>
      <c r="B151" s="388" t="s">
        <v>163</v>
      </c>
      <c r="C151" s="388" t="s">
        <v>230</v>
      </c>
      <c r="D151" s="492"/>
      <c r="E151" s="413"/>
      <c r="F151" s="388" t="s">
        <v>230</v>
      </c>
      <c r="G151" s="492"/>
    </row>
    <row r="152" spans="1:7">
      <c r="A152" s="384">
        <f t="shared" si="2"/>
        <v>244</v>
      </c>
      <c r="B152" s="388" t="s">
        <v>163</v>
      </c>
      <c r="C152" s="388" t="s">
        <v>231</v>
      </c>
      <c r="D152" s="492"/>
      <c r="E152" s="413"/>
      <c r="F152" s="388" t="s">
        <v>231</v>
      </c>
      <c r="G152" s="492"/>
    </row>
    <row r="153" spans="1:7">
      <c r="A153" s="384">
        <f t="shared" si="2"/>
        <v>245</v>
      </c>
      <c r="B153" s="388">
        <v>1</v>
      </c>
      <c r="C153" s="388" t="s">
        <v>232</v>
      </c>
      <c r="D153" s="492"/>
      <c r="E153" s="413"/>
      <c r="F153" s="388" t="s">
        <v>232</v>
      </c>
      <c r="G153" s="492"/>
    </row>
    <row r="154" spans="1:7">
      <c r="A154" s="384">
        <f t="shared" ref="A154:A217" si="3">A153+B153</f>
        <v>246</v>
      </c>
      <c r="B154" s="388">
        <v>1</v>
      </c>
      <c r="C154" s="388" t="s">
        <v>233</v>
      </c>
      <c r="D154" s="492"/>
      <c r="E154" s="413"/>
      <c r="F154" s="388" t="s">
        <v>233</v>
      </c>
      <c r="G154" s="492"/>
    </row>
    <row r="155" spans="1:7">
      <c r="A155" s="384">
        <f t="shared" si="3"/>
        <v>247</v>
      </c>
      <c r="B155" s="388">
        <v>1</v>
      </c>
      <c r="C155" s="388" t="s">
        <v>234</v>
      </c>
      <c r="D155" s="492"/>
      <c r="E155" s="413"/>
      <c r="F155" s="388" t="s">
        <v>234</v>
      </c>
      <c r="G155" s="492"/>
    </row>
    <row r="156" spans="1:7" ht="12.75" customHeight="1">
      <c r="A156" s="384">
        <f t="shared" si="3"/>
        <v>248</v>
      </c>
      <c r="B156" s="384" t="s">
        <v>148</v>
      </c>
      <c r="C156" s="384" t="s">
        <v>235</v>
      </c>
      <c r="D156" s="491" t="s">
        <v>236</v>
      </c>
      <c r="E156" s="374"/>
      <c r="F156" s="384" t="s">
        <v>235</v>
      </c>
      <c r="G156" s="491" t="s">
        <v>236</v>
      </c>
    </row>
    <row r="157" spans="1:7" ht="38.25" customHeight="1">
      <c r="A157" s="384">
        <f t="shared" si="3"/>
        <v>251</v>
      </c>
      <c r="B157" s="384" t="s">
        <v>148</v>
      </c>
      <c r="C157" s="384" t="s">
        <v>238</v>
      </c>
      <c r="D157" s="491"/>
      <c r="E157" s="374"/>
      <c r="F157" s="384" t="s">
        <v>238</v>
      </c>
      <c r="G157" s="491"/>
    </row>
    <row r="158" spans="1:7" ht="34.200000000000003">
      <c r="A158" s="384">
        <f t="shared" si="3"/>
        <v>254</v>
      </c>
      <c r="B158" s="388" t="s">
        <v>163</v>
      </c>
      <c r="C158" s="388" t="s">
        <v>239</v>
      </c>
      <c r="D158" s="412" t="s">
        <v>240</v>
      </c>
      <c r="E158" s="413"/>
      <c r="F158" s="388" t="s">
        <v>239</v>
      </c>
      <c r="G158" s="412" t="s">
        <v>240</v>
      </c>
    </row>
    <row r="159" spans="1:7" ht="12.75" customHeight="1">
      <c r="A159" s="384">
        <f t="shared" si="3"/>
        <v>255</v>
      </c>
      <c r="B159" s="384" t="s">
        <v>148</v>
      </c>
      <c r="C159" s="384" t="s">
        <v>242</v>
      </c>
      <c r="D159" s="491" t="s">
        <v>243</v>
      </c>
      <c r="E159" s="374"/>
      <c r="F159" s="384" t="s">
        <v>242</v>
      </c>
      <c r="G159" s="491" t="s">
        <v>243</v>
      </c>
    </row>
    <row r="160" spans="1:7" ht="39" customHeight="1">
      <c r="A160" s="384">
        <f t="shared" si="3"/>
        <v>258</v>
      </c>
      <c r="B160" s="388" t="s">
        <v>148</v>
      </c>
      <c r="C160" s="384" t="s">
        <v>244</v>
      </c>
      <c r="D160" s="491"/>
      <c r="E160" s="374"/>
      <c r="F160" s="384" t="s">
        <v>244</v>
      </c>
      <c r="G160" s="491"/>
    </row>
    <row r="161" spans="1:7">
      <c r="A161" s="384">
        <f t="shared" si="3"/>
        <v>261</v>
      </c>
      <c r="B161" s="388"/>
      <c r="C161" s="382" t="s">
        <v>246</v>
      </c>
      <c r="E161" s="374"/>
      <c r="F161" s="382" t="s">
        <v>246</v>
      </c>
      <c r="G161" s="367"/>
    </row>
    <row r="162" spans="1:7" ht="22.8">
      <c r="A162" s="384">
        <f t="shared" si="3"/>
        <v>261</v>
      </c>
      <c r="B162" s="388" t="s">
        <v>148</v>
      </c>
      <c r="C162" s="393" t="s">
        <v>219</v>
      </c>
      <c r="D162" s="367" t="s">
        <v>220</v>
      </c>
      <c r="E162" s="374"/>
      <c r="F162" s="393" t="s">
        <v>219</v>
      </c>
      <c r="G162" s="367" t="s">
        <v>220</v>
      </c>
    </row>
    <row r="163" spans="1:7" ht="22.8">
      <c r="A163" s="384">
        <f t="shared" si="3"/>
        <v>264</v>
      </c>
      <c r="B163" s="388">
        <v>3</v>
      </c>
      <c r="C163" s="393" t="s">
        <v>221</v>
      </c>
      <c r="D163" s="367" t="s">
        <v>220</v>
      </c>
      <c r="E163" s="374"/>
      <c r="F163" s="393" t="s">
        <v>221</v>
      </c>
      <c r="G163" s="367" t="s">
        <v>220</v>
      </c>
    </row>
    <row r="164" spans="1:7" ht="22.8">
      <c r="A164" s="384">
        <f t="shared" si="3"/>
        <v>267</v>
      </c>
      <c r="B164" s="388">
        <v>3</v>
      </c>
      <c r="C164" s="393" t="s">
        <v>222</v>
      </c>
      <c r="D164" s="367" t="s">
        <v>220</v>
      </c>
      <c r="E164" s="374"/>
      <c r="F164" s="393" t="s">
        <v>222</v>
      </c>
      <c r="G164" s="367" t="s">
        <v>220</v>
      </c>
    </row>
    <row r="165" spans="1:7" ht="22.8">
      <c r="A165" s="384">
        <f t="shared" si="3"/>
        <v>270</v>
      </c>
      <c r="B165" s="388">
        <v>3</v>
      </c>
      <c r="C165" s="393" t="s">
        <v>223</v>
      </c>
      <c r="D165" s="367" t="s">
        <v>220</v>
      </c>
      <c r="E165" s="374"/>
      <c r="F165" s="393" t="s">
        <v>223</v>
      </c>
      <c r="G165" s="367" t="s">
        <v>220</v>
      </c>
    </row>
    <row r="166" spans="1:7" ht="12.75" customHeight="1">
      <c r="A166" s="384">
        <f t="shared" si="3"/>
        <v>273</v>
      </c>
      <c r="B166" s="388" t="s">
        <v>163</v>
      </c>
      <c r="C166" s="388" t="s">
        <v>224</v>
      </c>
      <c r="D166" s="492" t="s">
        <v>144</v>
      </c>
      <c r="E166" s="413"/>
      <c r="F166" s="388" t="s">
        <v>224</v>
      </c>
      <c r="G166" s="492" t="s">
        <v>144</v>
      </c>
    </row>
    <row r="167" spans="1:7">
      <c r="A167" s="384">
        <f t="shared" si="3"/>
        <v>274</v>
      </c>
      <c r="B167" s="388" t="s">
        <v>163</v>
      </c>
      <c r="C167" s="388" t="s">
        <v>225</v>
      </c>
      <c r="D167" s="492"/>
      <c r="E167" s="413"/>
      <c r="F167" s="388" t="s">
        <v>225</v>
      </c>
      <c r="G167" s="492"/>
    </row>
    <row r="168" spans="1:7">
      <c r="A168" s="384">
        <f t="shared" si="3"/>
        <v>275</v>
      </c>
      <c r="B168" s="388" t="s">
        <v>163</v>
      </c>
      <c r="C168" s="388" t="s">
        <v>226</v>
      </c>
      <c r="D168" s="492"/>
      <c r="E168" s="413"/>
      <c r="F168" s="388" t="s">
        <v>226</v>
      </c>
      <c r="G168" s="492"/>
    </row>
    <row r="169" spans="1:7">
      <c r="A169" s="384">
        <f t="shared" si="3"/>
        <v>276</v>
      </c>
      <c r="B169" s="388" t="s">
        <v>163</v>
      </c>
      <c r="C169" s="388" t="s">
        <v>227</v>
      </c>
      <c r="D169" s="492"/>
      <c r="E169" s="413"/>
      <c r="F169" s="388" t="s">
        <v>227</v>
      </c>
      <c r="G169" s="492"/>
    </row>
    <row r="170" spans="1:7">
      <c r="A170" s="384">
        <f t="shared" si="3"/>
        <v>277</v>
      </c>
      <c r="B170" s="388" t="s">
        <v>163</v>
      </c>
      <c r="C170" s="388" t="s">
        <v>228</v>
      </c>
      <c r="D170" s="492"/>
      <c r="E170" s="413"/>
      <c r="F170" s="388" t="s">
        <v>228</v>
      </c>
      <c r="G170" s="492"/>
    </row>
    <row r="171" spans="1:7">
      <c r="A171" s="384">
        <f t="shared" si="3"/>
        <v>278</v>
      </c>
      <c r="B171" s="388" t="s">
        <v>163</v>
      </c>
      <c r="C171" s="388" t="s">
        <v>229</v>
      </c>
      <c r="D171" s="492"/>
      <c r="E171" s="413"/>
      <c r="F171" s="388" t="s">
        <v>229</v>
      </c>
      <c r="G171" s="492"/>
    </row>
    <row r="172" spans="1:7">
      <c r="A172" s="384">
        <f t="shared" si="3"/>
        <v>279</v>
      </c>
      <c r="B172" s="388" t="s">
        <v>163</v>
      </c>
      <c r="C172" s="388" t="s">
        <v>230</v>
      </c>
      <c r="D172" s="492"/>
      <c r="E172" s="413"/>
      <c r="F172" s="388" t="s">
        <v>230</v>
      </c>
      <c r="G172" s="492"/>
    </row>
    <row r="173" spans="1:7">
      <c r="A173" s="384">
        <f t="shared" si="3"/>
        <v>280</v>
      </c>
      <c r="B173" s="388" t="s">
        <v>163</v>
      </c>
      <c r="C173" s="388" t="s">
        <v>231</v>
      </c>
      <c r="D173" s="492"/>
      <c r="E173" s="413"/>
      <c r="F173" s="388" t="s">
        <v>231</v>
      </c>
      <c r="G173" s="492"/>
    </row>
    <row r="174" spans="1:7">
      <c r="A174" s="384">
        <f t="shared" si="3"/>
        <v>281</v>
      </c>
      <c r="B174" s="388">
        <v>1</v>
      </c>
      <c r="C174" s="388" t="s">
        <v>232</v>
      </c>
      <c r="D174" s="492"/>
      <c r="E174" s="413"/>
      <c r="F174" s="388" t="s">
        <v>232</v>
      </c>
      <c r="G174" s="492"/>
    </row>
    <row r="175" spans="1:7">
      <c r="A175" s="384">
        <f t="shared" si="3"/>
        <v>282</v>
      </c>
      <c r="B175" s="388">
        <v>1</v>
      </c>
      <c r="C175" s="388" t="s">
        <v>233</v>
      </c>
      <c r="D175" s="492"/>
      <c r="E175" s="413"/>
      <c r="F175" s="388" t="s">
        <v>233</v>
      </c>
      <c r="G175" s="492"/>
    </row>
    <row r="176" spans="1:7">
      <c r="A176" s="384">
        <f t="shared" si="3"/>
        <v>283</v>
      </c>
      <c r="B176" s="388">
        <v>1</v>
      </c>
      <c r="C176" s="388" t="s">
        <v>234</v>
      </c>
      <c r="D176" s="492"/>
      <c r="E176" s="413"/>
      <c r="F176" s="388" t="s">
        <v>234</v>
      </c>
      <c r="G176" s="492"/>
    </row>
    <row r="177" spans="1:7" ht="12.75" customHeight="1">
      <c r="A177" s="384">
        <f t="shared" si="3"/>
        <v>284</v>
      </c>
      <c r="B177" s="384" t="s">
        <v>148</v>
      </c>
      <c r="C177" s="384" t="s">
        <v>235</v>
      </c>
      <c r="D177" s="491" t="s">
        <v>236</v>
      </c>
      <c r="E177" s="374"/>
      <c r="F177" s="384" t="s">
        <v>235</v>
      </c>
      <c r="G177" s="491" t="s">
        <v>236</v>
      </c>
    </row>
    <row r="178" spans="1:7" ht="49.5" customHeight="1">
      <c r="A178" s="384">
        <f t="shared" si="3"/>
        <v>287</v>
      </c>
      <c r="B178" s="384" t="s">
        <v>148</v>
      </c>
      <c r="C178" s="384" t="s">
        <v>238</v>
      </c>
      <c r="D178" s="491"/>
      <c r="E178" s="374"/>
      <c r="F178" s="384" t="s">
        <v>238</v>
      </c>
      <c r="G178" s="491"/>
    </row>
    <row r="179" spans="1:7" ht="34.200000000000003">
      <c r="A179" s="384">
        <f t="shared" si="3"/>
        <v>290</v>
      </c>
      <c r="B179" s="388" t="s">
        <v>163</v>
      </c>
      <c r="C179" s="388" t="s">
        <v>239</v>
      </c>
      <c r="D179" s="412" t="s">
        <v>240</v>
      </c>
      <c r="E179" s="413"/>
      <c r="F179" s="388" t="s">
        <v>239</v>
      </c>
      <c r="G179" s="412" t="s">
        <v>240</v>
      </c>
    </row>
    <row r="180" spans="1:7" ht="12.75" customHeight="1">
      <c r="A180" s="384">
        <f t="shared" si="3"/>
        <v>291</v>
      </c>
      <c r="B180" s="384" t="s">
        <v>148</v>
      </c>
      <c r="C180" s="384" t="s">
        <v>242</v>
      </c>
      <c r="D180" s="491" t="s">
        <v>243</v>
      </c>
      <c r="E180" s="374"/>
      <c r="F180" s="384" t="s">
        <v>242</v>
      </c>
      <c r="G180" s="491" t="s">
        <v>243</v>
      </c>
    </row>
    <row r="181" spans="1:7" ht="36.75" customHeight="1">
      <c r="A181" s="384">
        <f t="shared" si="3"/>
        <v>294</v>
      </c>
      <c r="B181" s="388" t="s">
        <v>148</v>
      </c>
      <c r="C181" s="384" t="s">
        <v>244</v>
      </c>
      <c r="D181" s="491"/>
      <c r="E181" s="374"/>
      <c r="F181" s="384" t="s">
        <v>244</v>
      </c>
      <c r="G181" s="491"/>
    </row>
    <row r="182" spans="1:7">
      <c r="A182" s="384">
        <f t="shared" si="3"/>
        <v>297</v>
      </c>
      <c r="B182" s="388"/>
      <c r="C182" s="382" t="s">
        <v>247</v>
      </c>
      <c r="E182" s="374"/>
      <c r="F182" s="382" t="s">
        <v>247</v>
      </c>
      <c r="G182" s="367"/>
    </row>
    <row r="183" spans="1:7" ht="22.8">
      <c r="A183" s="384">
        <f t="shared" si="3"/>
        <v>297</v>
      </c>
      <c r="B183" s="388" t="s">
        <v>148</v>
      </c>
      <c r="C183" s="393" t="s">
        <v>219</v>
      </c>
      <c r="D183" s="367" t="s">
        <v>220</v>
      </c>
      <c r="E183" s="374"/>
      <c r="F183" s="393" t="s">
        <v>219</v>
      </c>
      <c r="G183" s="367" t="s">
        <v>220</v>
      </c>
    </row>
    <row r="184" spans="1:7" ht="22.8">
      <c r="A184" s="384">
        <f t="shared" si="3"/>
        <v>300</v>
      </c>
      <c r="B184" s="388">
        <v>3</v>
      </c>
      <c r="C184" s="393" t="s">
        <v>221</v>
      </c>
      <c r="D184" s="367" t="s">
        <v>220</v>
      </c>
      <c r="E184" s="374"/>
      <c r="F184" s="393" t="s">
        <v>221</v>
      </c>
      <c r="G184" s="367" t="s">
        <v>220</v>
      </c>
    </row>
    <row r="185" spans="1:7" ht="22.8">
      <c r="A185" s="384">
        <f t="shared" si="3"/>
        <v>303</v>
      </c>
      <c r="B185" s="388">
        <v>3</v>
      </c>
      <c r="C185" s="393" t="s">
        <v>222</v>
      </c>
      <c r="D185" s="367" t="s">
        <v>220</v>
      </c>
      <c r="E185" s="374"/>
      <c r="F185" s="393" t="s">
        <v>222</v>
      </c>
      <c r="G185" s="367" t="s">
        <v>220</v>
      </c>
    </row>
    <row r="186" spans="1:7" ht="22.8">
      <c r="A186" s="384">
        <f t="shared" si="3"/>
        <v>306</v>
      </c>
      <c r="B186" s="388">
        <v>3</v>
      </c>
      <c r="C186" s="393" t="s">
        <v>223</v>
      </c>
      <c r="D186" s="367" t="s">
        <v>220</v>
      </c>
      <c r="E186" s="374"/>
      <c r="F186" s="393" t="s">
        <v>223</v>
      </c>
      <c r="G186" s="367" t="s">
        <v>220</v>
      </c>
    </row>
    <row r="187" spans="1:7" ht="12.75" customHeight="1">
      <c r="A187" s="384">
        <f t="shared" si="3"/>
        <v>309</v>
      </c>
      <c r="B187" s="388" t="s">
        <v>163</v>
      </c>
      <c r="C187" s="388" t="s">
        <v>224</v>
      </c>
      <c r="D187" s="492" t="s">
        <v>144</v>
      </c>
      <c r="E187" s="413"/>
      <c r="F187" s="388" t="s">
        <v>224</v>
      </c>
      <c r="G187" s="492" t="s">
        <v>144</v>
      </c>
    </row>
    <row r="188" spans="1:7">
      <c r="A188" s="384">
        <f t="shared" si="3"/>
        <v>310</v>
      </c>
      <c r="B188" s="388" t="s">
        <v>163</v>
      </c>
      <c r="C188" s="388" t="s">
        <v>225</v>
      </c>
      <c r="D188" s="492"/>
      <c r="E188" s="413"/>
      <c r="F188" s="388" t="s">
        <v>225</v>
      </c>
      <c r="G188" s="492"/>
    </row>
    <row r="189" spans="1:7">
      <c r="A189" s="384">
        <f t="shared" si="3"/>
        <v>311</v>
      </c>
      <c r="B189" s="388" t="s">
        <v>163</v>
      </c>
      <c r="C189" s="388" t="s">
        <v>226</v>
      </c>
      <c r="D189" s="492"/>
      <c r="E189" s="413"/>
      <c r="F189" s="388" t="s">
        <v>226</v>
      </c>
      <c r="G189" s="492"/>
    </row>
    <row r="190" spans="1:7">
      <c r="A190" s="384">
        <f t="shared" si="3"/>
        <v>312</v>
      </c>
      <c r="B190" s="388" t="s">
        <v>163</v>
      </c>
      <c r="C190" s="388" t="s">
        <v>227</v>
      </c>
      <c r="D190" s="492"/>
      <c r="E190" s="413"/>
      <c r="F190" s="388" t="s">
        <v>227</v>
      </c>
      <c r="G190" s="492"/>
    </row>
    <row r="191" spans="1:7">
      <c r="A191" s="384">
        <f t="shared" si="3"/>
        <v>313</v>
      </c>
      <c r="B191" s="388" t="s">
        <v>163</v>
      </c>
      <c r="C191" s="388" t="s">
        <v>228</v>
      </c>
      <c r="D191" s="492"/>
      <c r="E191" s="413"/>
      <c r="F191" s="388" t="s">
        <v>228</v>
      </c>
      <c r="G191" s="492"/>
    </row>
    <row r="192" spans="1:7">
      <c r="A192" s="384">
        <f t="shared" si="3"/>
        <v>314</v>
      </c>
      <c r="B192" s="388" t="s">
        <v>163</v>
      </c>
      <c r="C192" s="388" t="s">
        <v>229</v>
      </c>
      <c r="D192" s="492"/>
      <c r="E192" s="413"/>
      <c r="F192" s="388" t="s">
        <v>229</v>
      </c>
      <c r="G192" s="492"/>
    </row>
    <row r="193" spans="1:7">
      <c r="A193" s="384">
        <f t="shared" si="3"/>
        <v>315</v>
      </c>
      <c r="B193" s="388" t="s">
        <v>163</v>
      </c>
      <c r="C193" s="388" t="s">
        <v>230</v>
      </c>
      <c r="D193" s="492"/>
      <c r="E193" s="413"/>
      <c r="F193" s="388" t="s">
        <v>230</v>
      </c>
      <c r="G193" s="492"/>
    </row>
    <row r="194" spans="1:7">
      <c r="A194" s="384">
        <f t="shared" si="3"/>
        <v>316</v>
      </c>
      <c r="B194" s="388" t="s">
        <v>163</v>
      </c>
      <c r="C194" s="388" t="s">
        <v>231</v>
      </c>
      <c r="D194" s="492"/>
      <c r="E194" s="413"/>
      <c r="F194" s="388" t="s">
        <v>231</v>
      </c>
      <c r="G194" s="492"/>
    </row>
    <row r="195" spans="1:7">
      <c r="A195" s="384">
        <f t="shared" si="3"/>
        <v>317</v>
      </c>
      <c r="B195" s="388">
        <v>1</v>
      </c>
      <c r="C195" s="388" t="s">
        <v>232</v>
      </c>
      <c r="D195" s="492"/>
      <c r="E195" s="413"/>
      <c r="F195" s="388" t="s">
        <v>232</v>
      </c>
      <c r="G195" s="492"/>
    </row>
    <row r="196" spans="1:7">
      <c r="A196" s="384">
        <f t="shared" si="3"/>
        <v>318</v>
      </c>
      <c r="B196" s="388">
        <v>1</v>
      </c>
      <c r="C196" s="388" t="s">
        <v>233</v>
      </c>
      <c r="D196" s="492"/>
      <c r="E196" s="413"/>
      <c r="F196" s="388" t="s">
        <v>233</v>
      </c>
      <c r="G196" s="492"/>
    </row>
    <row r="197" spans="1:7">
      <c r="A197" s="384">
        <f t="shared" si="3"/>
        <v>319</v>
      </c>
      <c r="B197" s="388">
        <v>1</v>
      </c>
      <c r="C197" s="388" t="s">
        <v>234</v>
      </c>
      <c r="D197" s="492"/>
      <c r="E197" s="413"/>
      <c r="F197" s="388" t="s">
        <v>234</v>
      </c>
      <c r="G197" s="492"/>
    </row>
    <row r="198" spans="1:7" ht="12.75" customHeight="1">
      <c r="A198" s="384">
        <f t="shared" si="3"/>
        <v>320</v>
      </c>
      <c r="B198" s="384" t="s">
        <v>148</v>
      </c>
      <c r="C198" s="384" t="s">
        <v>235</v>
      </c>
      <c r="D198" s="491" t="s">
        <v>236</v>
      </c>
      <c r="E198" s="374"/>
      <c r="F198" s="384" t="s">
        <v>235</v>
      </c>
      <c r="G198" s="491" t="s">
        <v>236</v>
      </c>
    </row>
    <row r="199" spans="1:7" ht="47.25" customHeight="1">
      <c r="A199" s="384">
        <f t="shared" si="3"/>
        <v>323</v>
      </c>
      <c r="B199" s="384" t="s">
        <v>148</v>
      </c>
      <c r="C199" s="384" t="s">
        <v>238</v>
      </c>
      <c r="D199" s="491"/>
      <c r="E199" s="374"/>
      <c r="F199" s="384" t="s">
        <v>238</v>
      </c>
      <c r="G199" s="491"/>
    </row>
    <row r="200" spans="1:7" ht="34.200000000000003">
      <c r="A200" s="384">
        <f t="shared" si="3"/>
        <v>326</v>
      </c>
      <c r="B200" s="388" t="s">
        <v>163</v>
      </c>
      <c r="C200" s="388" t="s">
        <v>239</v>
      </c>
      <c r="D200" s="412" t="s">
        <v>240</v>
      </c>
      <c r="E200" s="413"/>
      <c r="F200" s="388" t="s">
        <v>239</v>
      </c>
      <c r="G200" s="412" t="s">
        <v>240</v>
      </c>
    </row>
    <row r="201" spans="1:7" ht="12.75" customHeight="1">
      <c r="A201" s="384">
        <f t="shared" si="3"/>
        <v>327</v>
      </c>
      <c r="B201" s="384" t="s">
        <v>148</v>
      </c>
      <c r="C201" s="384" t="s">
        <v>242</v>
      </c>
      <c r="D201" s="491" t="s">
        <v>243</v>
      </c>
      <c r="E201" s="374"/>
      <c r="F201" s="384" t="s">
        <v>242</v>
      </c>
      <c r="G201" s="491" t="s">
        <v>243</v>
      </c>
    </row>
    <row r="202" spans="1:7" ht="39" customHeight="1">
      <c r="A202" s="384">
        <f t="shared" si="3"/>
        <v>330</v>
      </c>
      <c r="B202" s="388" t="s">
        <v>148</v>
      </c>
      <c r="C202" s="384" t="s">
        <v>244</v>
      </c>
      <c r="D202" s="491"/>
      <c r="E202" s="374"/>
      <c r="F202" s="384" t="s">
        <v>244</v>
      </c>
      <c r="G202" s="491"/>
    </row>
    <row r="203" spans="1:7">
      <c r="A203" s="384">
        <f t="shared" si="3"/>
        <v>333</v>
      </c>
      <c r="B203" s="388"/>
      <c r="C203" s="395" t="s">
        <v>248</v>
      </c>
      <c r="E203" s="374"/>
      <c r="F203" s="395" t="s">
        <v>248</v>
      </c>
      <c r="G203" s="367"/>
    </row>
    <row r="204" spans="1:7" ht="12.75" customHeight="1">
      <c r="A204" s="384">
        <f t="shared" si="3"/>
        <v>333</v>
      </c>
      <c r="B204" s="388" t="s">
        <v>163</v>
      </c>
      <c r="C204" s="388" t="s">
        <v>249</v>
      </c>
      <c r="D204" s="491" t="s">
        <v>250</v>
      </c>
      <c r="E204" s="374"/>
      <c r="F204" s="388" t="s">
        <v>249</v>
      </c>
      <c r="G204" s="491" t="s">
        <v>250</v>
      </c>
    </row>
    <row r="205" spans="1:7">
      <c r="A205" s="384">
        <f t="shared" si="3"/>
        <v>334</v>
      </c>
      <c r="B205" s="388" t="s">
        <v>163</v>
      </c>
      <c r="C205" s="388" t="s">
        <v>251</v>
      </c>
      <c r="D205" s="491"/>
      <c r="E205" s="374"/>
      <c r="F205" s="388" t="s">
        <v>251</v>
      </c>
      <c r="G205" s="491"/>
    </row>
    <row r="206" spans="1:7">
      <c r="A206" s="384">
        <f t="shared" si="3"/>
        <v>335</v>
      </c>
      <c r="B206" s="388" t="s">
        <v>163</v>
      </c>
      <c r="C206" s="388" t="s">
        <v>252</v>
      </c>
      <c r="D206" s="491"/>
      <c r="E206" s="374"/>
      <c r="F206" s="388" t="s">
        <v>252</v>
      </c>
      <c r="G206" s="491"/>
    </row>
    <row r="207" spans="1:7">
      <c r="A207" s="384">
        <f t="shared" si="3"/>
        <v>336</v>
      </c>
      <c r="B207" s="388"/>
      <c r="C207" s="395" t="s">
        <v>253</v>
      </c>
      <c r="E207" s="374"/>
      <c r="F207" s="395" t="s">
        <v>253</v>
      </c>
      <c r="G207" s="367"/>
    </row>
    <row r="208" spans="1:7" ht="12.75" customHeight="1">
      <c r="A208" s="384">
        <f t="shared" si="3"/>
        <v>336</v>
      </c>
      <c r="B208" s="388" t="s">
        <v>163</v>
      </c>
      <c r="C208" s="388" t="s">
        <v>249</v>
      </c>
      <c r="D208" s="491" t="s">
        <v>254</v>
      </c>
      <c r="E208" s="374"/>
      <c r="F208" s="388" t="s">
        <v>249</v>
      </c>
      <c r="G208" s="491" t="s">
        <v>254</v>
      </c>
    </row>
    <row r="209" spans="1:9">
      <c r="A209" s="384">
        <f t="shared" si="3"/>
        <v>337</v>
      </c>
      <c r="B209" s="388" t="s">
        <v>163</v>
      </c>
      <c r="C209" s="388" t="s">
        <v>251</v>
      </c>
      <c r="D209" s="491"/>
      <c r="E209" s="374"/>
      <c r="F209" s="388" t="s">
        <v>251</v>
      </c>
      <c r="G209" s="491"/>
    </row>
    <row r="210" spans="1:9">
      <c r="A210" s="384">
        <f t="shared" si="3"/>
        <v>338</v>
      </c>
      <c r="B210" s="388" t="s">
        <v>163</v>
      </c>
      <c r="C210" s="388" t="s">
        <v>255</v>
      </c>
      <c r="D210" s="491"/>
      <c r="E210" s="374"/>
      <c r="F210" s="388" t="s">
        <v>255</v>
      </c>
      <c r="G210" s="491"/>
    </row>
    <row r="211" spans="1:9">
      <c r="A211" s="384">
        <f t="shared" si="3"/>
        <v>339</v>
      </c>
      <c r="B211" s="388"/>
      <c r="C211" s="395" t="s">
        <v>256</v>
      </c>
      <c r="E211" s="374"/>
      <c r="F211" s="395" t="s">
        <v>256</v>
      </c>
      <c r="G211" s="367"/>
    </row>
    <row r="212" spans="1:9" ht="12.75" customHeight="1">
      <c r="A212" s="384">
        <f t="shared" si="3"/>
        <v>339</v>
      </c>
      <c r="B212" s="388" t="s">
        <v>163</v>
      </c>
      <c r="C212" s="388" t="s">
        <v>249</v>
      </c>
      <c r="D212" s="491" t="s">
        <v>254</v>
      </c>
      <c r="E212" s="374"/>
      <c r="F212" s="388" t="s">
        <v>249</v>
      </c>
      <c r="G212" s="491" t="s">
        <v>254</v>
      </c>
    </row>
    <row r="213" spans="1:9">
      <c r="A213" s="384">
        <f t="shared" si="3"/>
        <v>340</v>
      </c>
      <c r="B213" s="388" t="s">
        <v>163</v>
      </c>
      <c r="C213" s="388" t="s">
        <v>251</v>
      </c>
      <c r="D213" s="491"/>
      <c r="E213" s="374"/>
      <c r="F213" s="388" t="s">
        <v>251</v>
      </c>
      <c r="G213" s="491"/>
    </row>
    <row r="214" spans="1:9">
      <c r="A214" s="384">
        <f t="shared" si="3"/>
        <v>341</v>
      </c>
      <c r="B214" s="388" t="s">
        <v>163</v>
      </c>
      <c r="C214" s="388" t="s">
        <v>255</v>
      </c>
      <c r="D214" s="491"/>
      <c r="E214" s="374"/>
      <c r="F214" s="388" t="s">
        <v>255</v>
      </c>
      <c r="G214" s="491"/>
    </row>
    <row r="215" spans="1:9">
      <c r="A215" s="384">
        <f t="shared" si="3"/>
        <v>342</v>
      </c>
      <c r="B215" s="388"/>
      <c r="C215" s="395" t="s">
        <v>257</v>
      </c>
      <c r="E215" s="374"/>
      <c r="F215" s="395" t="s">
        <v>257</v>
      </c>
      <c r="G215" s="367"/>
    </row>
    <row r="216" spans="1:9" ht="12.75" customHeight="1">
      <c r="A216" s="384">
        <f t="shared" si="3"/>
        <v>342</v>
      </c>
      <c r="B216" s="388" t="s">
        <v>163</v>
      </c>
      <c r="C216" s="388" t="s">
        <v>249</v>
      </c>
      <c r="D216" s="491" t="s">
        <v>254</v>
      </c>
      <c r="E216" s="374"/>
      <c r="F216" s="388" t="s">
        <v>249</v>
      </c>
      <c r="G216" s="491" t="s">
        <v>254</v>
      </c>
    </row>
    <row r="217" spans="1:9">
      <c r="A217" s="384">
        <f t="shared" si="3"/>
        <v>343</v>
      </c>
      <c r="B217" s="388" t="s">
        <v>163</v>
      </c>
      <c r="C217" s="388" t="s">
        <v>251</v>
      </c>
      <c r="D217" s="491"/>
      <c r="E217" s="374"/>
      <c r="F217" s="388" t="s">
        <v>251</v>
      </c>
      <c r="G217" s="491"/>
    </row>
    <row r="218" spans="1:9">
      <c r="A218" s="384">
        <f t="shared" ref="A218:A234" si="4">A217+B217</f>
        <v>344</v>
      </c>
      <c r="B218" s="388" t="s">
        <v>163</v>
      </c>
      <c r="C218" s="388" t="s">
        <v>255</v>
      </c>
      <c r="D218" s="491"/>
      <c r="E218" s="374"/>
      <c r="F218" s="388" t="s">
        <v>255</v>
      </c>
      <c r="G218" s="491"/>
    </row>
    <row r="219" spans="1:9" s="362" customFormat="1">
      <c r="A219" s="384">
        <f t="shared" si="4"/>
        <v>345</v>
      </c>
      <c r="B219" s="380"/>
      <c r="C219" s="382" t="s">
        <v>258</v>
      </c>
      <c r="D219" s="416"/>
      <c r="E219" s="417"/>
      <c r="F219" s="382" t="s">
        <v>258</v>
      </c>
      <c r="G219" s="416"/>
      <c r="H219" s="318"/>
      <c r="I219" s="318"/>
    </row>
    <row r="220" spans="1:9" ht="12.75" customHeight="1">
      <c r="A220" s="384">
        <f t="shared" si="4"/>
        <v>345</v>
      </c>
      <c r="B220" s="384">
        <v>3</v>
      </c>
      <c r="C220" s="384" t="s">
        <v>259</v>
      </c>
      <c r="D220" s="493" t="s">
        <v>260</v>
      </c>
      <c r="E220" s="418"/>
      <c r="F220" s="384" t="s">
        <v>259</v>
      </c>
      <c r="G220" s="493" t="s">
        <v>260</v>
      </c>
      <c r="H220" s="502"/>
    </row>
    <row r="221" spans="1:9" ht="39.75" customHeight="1">
      <c r="A221" s="384">
        <f t="shared" si="4"/>
        <v>348</v>
      </c>
      <c r="B221" s="384">
        <v>3</v>
      </c>
      <c r="C221" s="384" t="s">
        <v>261</v>
      </c>
      <c r="D221" s="493"/>
      <c r="E221" s="418"/>
      <c r="F221" s="384" t="s">
        <v>261</v>
      </c>
      <c r="G221" s="493"/>
      <c r="H221" s="503"/>
    </row>
    <row r="222" spans="1:9" ht="24" customHeight="1">
      <c r="A222" s="384">
        <f t="shared" si="4"/>
        <v>351</v>
      </c>
      <c r="B222" s="384">
        <v>3</v>
      </c>
      <c r="C222" s="384" t="s">
        <v>262</v>
      </c>
      <c r="D222" s="494" t="s">
        <v>263</v>
      </c>
      <c r="E222" s="419"/>
      <c r="F222" s="384" t="s">
        <v>262</v>
      </c>
      <c r="G222" s="494" t="s">
        <v>263</v>
      </c>
      <c r="H222" s="504" t="s">
        <v>264</v>
      </c>
      <c r="I222" s="502" t="s">
        <v>167</v>
      </c>
    </row>
    <row r="223" spans="1:9" ht="124.05" customHeight="1">
      <c r="A223" s="384">
        <f t="shared" si="4"/>
        <v>354</v>
      </c>
      <c r="B223" s="384">
        <v>3</v>
      </c>
      <c r="C223" s="384" t="s">
        <v>265</v>
      </c>
      <c r="D223" s="494"/>
      <c r="E223" s="419"/>
      <c r="F223" s="384" t="s">
        <v>265</v>
      </c>
      <c r="G223" s="494"/>
      <c r="H223" s="503"/>
      <c r="I223" s="503"/>
    </row>
    <row r="224" spans="1:9" ht="24" customHeight="1">
      <c r="A224" s="385">
        <f t="shared" si="4"/>
        <v>357</v>
      </c>
      <c r="B224" s="384">
        <v>3</v>
      </c>
      <c r="C224" s="384" t="s">
        <v>266</v>
      </c>
      <c r="D224" s="495" t="s">
        <v>267</v>
      </c>
      <c r="E224" s="420"/>
      <c r="F224" s="384" t="s">
        <v>266</v>
      </c>
      <c r="G224" s="495" t="s">
        <v>268</v>
      </c>
    </row>
    <row r="225" spans="1:7" ht="30" customHeight="1">
      <c r="A225" s="385">
        <f t="shared" si="4"/>
        <v>360</v>
      </c>
      <c r="B225" s="384">
        <v>3</v>
      </c>
      <c r="C225" s="384" t="s">
        <v>269</v>
      </c>
      <c r="D225" s="495"/>
      <c r="E225" s="420"/>
      <c r="F225" s="384" t="s">
        <v>269</v>
      </c>
      <c r="G225" s="495"/>
    </row>
    <row r="226" spans="1:7" ht="12.75" customHeight="1">
      <c r="A226" s="384">
        <f t="shared" si="4"/>
        <v>363</v>
      </c>
      <c r="B226" s="384">
        <v>3</v>
      </c>
      <c r="C226" s="384" t="s">
        <v>270</v>
      </c>
      <c r="D226" s="495" t="s">
        <v>267</v>
      </c>
      <c r="E226" s="420"/>
      <c r="F226" s="384" t="s">
        <v>270</v>
      </c>
      <c r="G226" s="495" t="s">
        <v>267</v>
      </c>
    </row>
    <row r="227" spans="1:7" ht="39.75" customHeight="1">
      <c r="A227" s="384">
        <f t="shared" si="4"/>
        <v>366</v>
      </c>
      <c r="B227" s="384">
        <v>3</v>
      </c>
      <c r="C227" s="384" t="s">
        <v>271</v>
      </c>
      <c r="D227" s="495"/>
      <c r="E227" s="420"/>
      <c r="F227" s="384" t="s">
        <v>271</v>
      </c>
      <c r="G227" s="495"/>
    </row>
    <row r="228" spans="1:7" ht="22.5" customHeight="1">
      <c r="A228" s="384">
        <f t="shared" si="4"/>
        <v>369</v>
      </c>
      <c r="B228" s="384">
        <v>3</v>
      </c>
      <c r="C228" s="384" t="s">
        <v>272</v>
      </c>
      <c r="D228" s="495" t="s">
        <v>267</v>
      </c>
      <c r="E228" s="420"/>
      <c r="F228" s="384" t="s">
        <v>272</v>
      </c>
      <c r="G228" s="495" t="s">
        <v>267</v>
      </c>
    </row>
    <row r="229" spans="1:7" ht="29.25" customHeight="1">
      <c r="A229" s="384">
        <f t="shared" si="4"/>
        <v>372</v>
      </c>
      <c r="B229" s="384">
        <v>3</v>
      </c>
      <c r="C229" s="384" t="s">
        <v>273</v>
      </c>
      <c r="D229" s="495"/>
      <c r="E229" s="420"/>
      <c r="F229" s="384" t="s">
        <v>273</v>
      </c>
      <c r="G229" s="495"/>
    </row>
    <row r="230" spans="1:7" ht="22.5" customHeight="1">
      <c r="A230" s="384">
        <f t="shared" si="4"/>
        <v>375</v>
      </c>
      <c r="B230" s="384">
        <v>3</v>
      </c>
      <c r="C230" s="384" t="s">
        <v>274</v>
      </c>
      <c r="D230" s="493" t="s">
        <v>260</v>
      </c>
      <c r="E230" s="418"/>
      <c r="F230" s="384" t="s">
        <v>274</v>
      </c>
      <c r="G230" s="493" t="s">
        <v>260</v>
      </c>
    </row>
    <row r="231" spans="1:7" ht="27" customHeight="1">
      <c r="A231" s="384">
        <f t="shared" si="4"/>
        <v>378</v>
      </c>
      <c r="B231" s="384">
        <v>3</v>
      </c>
      <c r="C231" s="384" t="s">
        <v>275</v>
      </c>
      <c r="D231" s="493"/>
      <c r="E231" s="418"/>
      <c r="F231" s="384" t="s">
        <v>275</v>
      </c>
      <c r="G231" s="493"/>
    </row>
    <row r="232" spans="1:7" ht="12.75" customHeight="1">
      <c r="A232" s="384">
        <f t="shared" si="4"/>
        <v>381</v>
      </c>
      <c r="B232" s="384">
        <v>4</v>
      </c>
      <c r="C232" s="384" t="s">
        <v>276</v>
      </c>
      <c r="D232" s="496" t="s">
        <v>277</v>
      </c>
      <c r="E232" s="422"/>
      <c r="F232" s="384" t="s">
        <v>276</v>
      </c>
      <c r="G232" s="496" t="s">
        <v>277</v>
      </c>
    </row>
    <row r="233" spans="1:7">
      <c r="A233" s="384">
        <f t="shared" si="4"/>
        <v>385</v>
      </c>
      <c r="B233" s="384" t="s">
        <v>151</v>
      </c>
      <c r="C233" s="384" t="s">
        <v>278</v>
      </c>
      <c r="D233" s="496"/>
      <c r="E233" s="422"/>
      <c r="F233" s="384" t="s">
        <v>278</v>
      </c>
      <c r="G233" s="496"/>
    </row>
    <row r="234" spans="1:7">
      <c r="A234" s="384">
        <f t="shared" si="4"/>
        <v>389</v>
      </c>
      <c r="B234" s="384" t="s">
        <v>151</v>
      </c>
      <c r="C234" s="384" t="s">
        <v>279</v>
      </c>
      <c r="D234" s="496"/>
      <c r="E234" s="422"/>
      <c r="F234" s="384" t="s">
        <v>279</v>
      </c>
      <c r="G234" s="496"/>
    </row>
    <row r="235" spans="1:7" ht="62.1" customHeight="1">
      <c r="A235" s="384">
        <f t="shared" ref="A235:A248" si="5">A234+B234</f>
        <v>393</v>
      </c>
      <c r="B235" s="384" t="s">
        <v>151</v>
      </c>
      <c r="C235" s="384" t="s">
        <v>280</v>
      </c>
      <c r="D235" s="496"/>
      <c r="E235" s="422"/>
      <c r="F235" s="384" t="s">
        <v>280</v>
      </c>
      <c r="G235" s="496"/>
    </row>
    <row r="236" spans="1:7" ht="46.5" customHeight="1">
      <c r="A236" s="384">
        <f t="shared" si="5"/>
        <v>397</v>
      </c>
      <c r="B236" s="384" t="s">
        <v>151</v>
      </c>
      <c r="C236" s="384" t="s">
        <v>281</v>
      </c>
      <c r="D236" s="496"/>
      <c r="E236" s="422"/>
      <c r="F236" s="384" t="s">
        <v>281</v>
      </c>
      <c r="G236" s="496"/>
    </row>
    <row r="237" spans="1:7" ht="12.75" customHeight="1">
      <c r="A237" s="384">
        <f t="shared" si="5"/>
        <v>401</v>
      </c>
      <c r="B237" s="384" t="s">
        <v>145</v>
      </c>
      <c r="C237" s="384" t="s">
        <v>282</v>
      </c>
      <c r="D237" s="491" t="s">
        <v>283</v>
      </c>
      <c r="E237" s="374"/>
      <c r="F237" s="384" t="s">
        <v>282</v>
      </c>
      <c r="G237" s="491" t="s">
        <v>283</v>
      </c>
    </row>
    <row r="238" spans="1:7" ht="64.5" customHeight="1">
      <c r="A238" s="384">
        <f t="shared" si="5"/>
        <v>403</v>
      </c>
      <c r="B238" s="384" t="s">
        <v>145</v>
      </c>
      <c r="C238" s="388" t="s">
        <v>284</v>
      </c>
      <c r="D238" s="491"/>
      <c r="E238" s="374"/>
      <c r="F238" s="388" t="s">
        <v>284</v>
      </c>
      <c r="G238" s="491"/>
    </row>
    <row r="239" spans="1:7" ht="31.05" customHeight="1">
      <c r="A239" s="403">
        <f t="shared" si="5"/>
        <v>405</v>
      </c>
      <c r="B239" s="404">
        <v>1</v>
      </c>
      <c r="C239" s="490" t="s">
        <v>285</v>
      </c>
      <c r="D239" s="497" t="s">
        <v>286</v>
      </c>
      <c r="E239" s="405"/>
      <c r="F239" s="498" t="s">
        <v>287</v>
      </c>
      <c r="G239" s="498" t="s">
        <v>288</v>
      </c>
    </row>
    <row r="240" spans="1:7" ht="22.05" customHeight="1">
      <c r="A240" s="403">
        <f t="shared" si="5"/>
        <v>406</v>
      </c>
      <c r="B240" s="404">
        <v>1</v>
      </c>
      <c r="C240" s="490"/>
      <c r="D240" s="497"/>
      <c r="E240" s="405"/>
      <c r="F240" s="498"/>
      <c r="G240" s="498"/>
    </row>
    <row r="241" spans="1:7" ht="22.05" customHeight="1">
      <c r="A241" s="403">
        <f t="shared" si="5"/>
        <v>407</v>
      </c>
      <c r="B241" s="404">
        <v>1</v>
      </c>
      <c r="C241" s="490"/>
      <c r="D241" s="497"/>
      <c r="E241" s="405"/>
      <c r="F241" s="498"/>
      <c r="G241" s="498"/>
    </row>
    <row r="242" spans="1:7" ht="28.05" customHeight="1">
      <c r="A242" s="403">
        <f t="shared" si="5"/>
        <v>408</v>
      </c>
      <c r="B242" s="404">
        <v>1</v>
      </c>
      <c r="C242" s="490" t="s">
        <v>289</v>
      </c>
      <c r="D242" s="497" t="s">
        <v>290</v>
      </c>
      <c r="E242" s="405"/>
      <c r="F242" s="498" t="s">
        <v>291</v>
      </c>
      <c r="G242" s="498" t="s">
        <v>288</v>
      </c>
    </row>
    <row r="243" spans="1:7" ht="21" customHeight="1">
      <c r="A243" s="403">
        <f t="shared" si="5"/>
        <v>409</v>
      </c>
      <c r="B243" s="404">
        <v>1</v>
      </c>
      <c r="C243" s="490"/>
      <c r="D243" s="497"/>
      <c r="E243" s="405"/>
      <c r="F243" s="498"/>
      <c r="G243" s="498"/>
    </row>
    <row r="244" spans="1:7" ht="28.05" customHeight="1">
      <c r="A244" s="403">
        <f t="shared" si="5"/>
        <v>410</v>
      </c>
      <c r="B244" s="404">
        <v>1</v>
      </c>
      <c r="C244" s="490"/>
      <c r="D244" s="497"/>
      <c r="E244" s="405"/>
      <c r="F244" s="498"/>
      <c r="G244" s="498"/>
    </row>
    <row r="245" spans="1:7" ht="31.95" customHeight="1">
      <c r="A245" s="403">
        <f t="shared" si="5"/>
        <v>411</v>
      </c>
      <c r="B245" s="404">
        <v>1</v>
      </c>
      <c r="C245" s="490" t="s">
        <v>292</v>
      </c>
      <c r="D245" s="497" t="s">
        <v>290</v>
      </c>
      <c r="E245" s="405"/>
      <c r="F245" s="498" t="s">
        <v>293</v>
      </c>
      <c r="G245" s="498" t="s">
        <v>288</v>
      </c>
    </row>
    <row r="246" spans="1:7" ht="31.05" customHeight="1">
      <c r="A246" s="403">
        <f t="shared" si="5"/>
        <v>412</v>
      </c>
      <c r="B246" s="404">
        <v>1</v>
      </c>
      <c r="C246" s="490"/>
      <c r="D246" s="497"/>
      <c r="E246" s="405"/>
      <c r="F246" s="498"/>
      <c r="G246" s="498"/>
    </row>
    <row r="247" spans="1:7">
      <c r="A247" s="403">
        <f t="shared" si="5"/>
        <v>413</v>
      </c>
      <c r="B247" s="404">
        <v>1</v>
      </c>
      <c r="C247" s="490"/>
      <c r="D247" s="497"/>
      <c r="E247" s="405"/>
      <c r="F247" s="498"/>
      <c r="G247" s="498"/>
    </row>
    <row r="248" spans="1:7">
      <c r="A248" s="385">
        <f t="shared" si="5"/>
        <v>414</v>
      </c>
      <c r="B248" s="388"/>
      <c r="C248" s="382" t="s">
        <v>294</v>
      </c>
      <c r="E248" s="374"/>
      <c r="F248" s="382" t="s">
        <v>294</v>
      </c>
      <c r="G248" s="367"/>
    </row>
    <row r="249" spans="1:7" ht="12.75" customHeight="1">
      <c r="A249" s="385">
        <f>A247+B247</f>
        <v>414</v>
      </c>
      <c r="B249" s="384">
        <v>3</v>
      </c>
      <c r="C249" s="384" t="s">
        <v>259</v>
      </c>
      <c r="D249" s="493" t="s">
        <v>260</v>
      </c>
      <c r="E249" s="418"/>
      <c r="F249" s="384" t="s">
        <v>259</v>
      </c>
      <c r="G249" s="493" t="s">
        <v>260</v>
      </c>
    </row>
    <row r="250" spans="1:7" ht="39.75" customHeight="1">
      <c r="A250" s="384">
        <f t="shared" ref="A250:A262" si="6">A249+B249</f>
        <v>417</v>
      </c>
      <c r="B250" s="384">
        <v>3</v>
      </c>
      <c r="C250" s="384" t="s">
        <v>261</v>
      </c>
      <c r="D250" s="493"/>
      <c r="E250" s="418"/>
      <c r="F250" s="384" t="s">
        <v>261</v>
      </c>
      <c r="G250" s="493"/>
    </row>
    <row r="251" spans="1:7" ht="24" customHeight="1">
      <c r="A251" s="384">
        <f t="shared" si="6"/>
        <v>420</v>
      </c>
      <c r="B251" s="384">
        <v>3</v>
      </c>
      <c r="C251" s="384" t="s">
        <v>262</v>
      </c>
      <c r="D251" s="494" t="s">
        <v>263</v>
      </c>
      <c r="E251" s="419"/>
      <c r="F251" s="384" t="s">
        <v>262</v>
      </c>
      <c r="G251" s="494" t="s">
        <v>263</v>
      </c>
    </row>
    <row r="252" spans="1:7" ht="22.8">
      <c r="A252" s="384">
        <f t="shared" si="6"/>
        <v>423</v>
      </c>
      <c r="B252" s="384">
        <v>3</v>
      </c>
      <c r="C252" s="384" t="s">
        <v>265</v>
      </c>
      <c r="D252" s="494"/>
      <c r="E252" s="419"/>
      <c r="F252" s="384" t="s">
        <v>265</v>
      </c>
      <c r="G252" s="494"/>
    </row>
    <row r="253" spans="1:7" ht="28.05" customHeight="1">
      <c r="A253" s="385">
        <f t="shared" si="6"/>
        <v>426</v>
      </c>
      <c r="B253" s="384">
        <v>3</v>
      </c>
      <c r="C253" s="384" t="s">
        <v>266</v>
      </c>
      <c r="D253" s="495" t="s">
        <v>295</v>
      </c>
      <c r="E253" s="420"/>
      <c r="F253" s="384" t="s">
        <v>266</v>
      </c>
      <c r="G253" s="495" t="s">
        <v>267</v>
      </c>
    </row>
    <row r="254" spans="1:7" ht="24" customHeight="1">
      <c r="A254" s="385">
        <f t="shared" si="6"/>
        <v>429</v>
      </c>
      <c r="B254" s="384">
        <v>3</v>
      </c>
      <c r="C254" s="384" t="s">
        <v>269</v>
      </c>
      <c r="D254" s="495"/>
      <c r="E254" s="420"/>
      <c r="F254" s="384" t="s">
        <v>269</v>
      </c>
      <c r="G254" s="495"/>
    </row>
    <row r="255" spans="1:7" ht="12.75" customHeight="1">
      <c r="A255" s="384">
        <f t="shared" si="6"/>
        <v>432</v>
      </c>
      <c r="B255" s="384">
        <v>3</v>
      </c>
      <c r="C255" s="384" t="s">
        <v>270</v>
      </c>
      <c r="D255" s="495" t="s">
        <v>267</v>
      </c>
      <c r="E255" s="420"/>
      <c r="F255" s="384" t="s">
        <v>270</v>
      </c>
      <c r="G255" s="495" t="s">
        <v>267</v>
      </c>
    </row>
    <row r="256" spans="1:7" ht="36" customHeight="1">
      <c r="A256" s="384">
        <f t="shared" si="6"/>
        <v>435</v>
      </c>
      <c r="B256" s="384">
        <v>3</v>
      </c>
      <c r="C256" s="384" t="s">
        <v>271</v>
      </c>
      <c r="D256" s="495"/>
      <c r="E256" s="420"/>
      <c r="F256" s="384" t="s">
        <v>271</v>
      </c>
      <c r="G256" s="495"/>
    </row>
    <row r="257" spans="1:7" ht="12.75" customHeight="1">
      <c r="A257" s="384">
        <f t="shared" si="6"/>
        <v>438</v>
      </c>
      <c r="B257" s="384">
        <v>3</v>
      </c>
      <c r="C257" s="384" t="s">
        <v>272</v>
      </c>
      <c r="D257" s="495" t="s">
        <v>267</v>
      </c>
      <c r="E257" s="420"/>
      <c r="F257" s="384" t="s">
        <v>272</v>
      </c>
      <c r="G257" s="495" t="s">
        <v>267</v>
      </c>
    </row>
    <row r="258" spans="1:7" ht="34.5" customHeight="1">
      <c r="A258" s="384">
        <f t="shared" si="6"/>
        <v>441</v>
      </c>
      <c r="B258" s="384">
        <v>3</v>
      </c>
      <c r="C258" s="384" t="s">
        <v>273</v>
      </c>
      <c r="D258" s="495"/>
      <c r="E258" s="420"/>
      <c r="F258" s="384" t="s">
        <v>273</v>
      </c>
      <c r="G258" s="495"/>
    </row>
    <row r="259" spans="1:7" ht="12.75" customHeight="1">
      <c r="A259" s="384">
        <f t="shared" si="6"/>
        <v>444</v>
      </c>
      <c r="B259" s="384">
        <v>3</v>
      </c>
      <c r="C259" s="384" t="s">
        <v>274</v>
      </c>
      <c r="D259" s="493" t="s">
        <v>260</v>
      </c>
      <c r="E259" s="418"/>
      <c r="F259" s="384" t="s">
        <v>274</v>
      </c>
      <c r="G259" s="493" t="s">
        <v>260</v>
      </c>
    </row>
    <row r="260" spans="1:7" ht="36" customHeight="1">
      <c r="A260" s="384">
        <f t="shared" si="6"/>
        <v>447</v>
      </c>
      <c r="B260" s="384">
        <v>3</v>
      </c>
      <c r="C260" s="384" t="s">
        <v>275</v>
      </c>
      <c r="D260" s="493"/>
      <c r="E260" s="418"/>
      <c r="F260" s="384" t="s">
        <v>275</v>
      </c>
      <c r="G260" s="493"/>
    </row>
    <row r="261" spans="1:7" ht="12.75" customHeight="1">
      <c r="A261" s="384">
        <f t="shared" si="6"/>
        <v>450</v>
      </c>
      <c r="B261" s="384">
        <v>4</v>
      </c>
      <c r="C261" s="384" t="s">
        <v>276</v>
      </c>
      <c r="D261" s="496" t="s">
        <v>277</v>
      </c>
      <c r="E261" s="422"/>
      <c r="F261" s="384" t="s">
        <v>276</v>
      </c>
      <c r="G261" s="496" t="s">
        <v>277</v>
      </c>
    </row>
    <row r="262" spans="1:7">
      <c r="A262" s="384">
        <f t="shared" si="6"/>
        <v>454</v>
      </c>
      <c r="B262" s="384" t="s">
        <v>151</v>
      </c>
      <c r="C262" s="384" t="s">
        <v>278</v>
      </c>
      <c r="D262" s="496"/>
      <c r="E262" s="422"/>
      <c r="F262" s="384" t="s">
        <v>278</v>
      </c>
      <c r="G262" s="496"/>
    </row>
    <row r="263" spans="1:7">
      <c r="A263" s="384">
        <f t="shared" ref="A263:A291" si="7">A262+B262</f>
        <v>458</v>
      </c>
      <c r="B263" s="384" t="s">
        <v>151</v>
      </c>
      <c r="C263" s="384" t="s">
        <v>279</v>
      </c>
      <c r="D263" s="496"/>
      <c r="E263" s="422"/>
      <c r="F263" s="384" t="s">
        <v>279</v>
      </c>
      <c r="G263" s="496"/>
    </row>
    <row r="264" spans="1:7">
      <c r="A264" s="384">
        <f t="shared" si="7"/>
        <v>462</v>
      </c>
      <c r="B264" s="384" t="s">
        <v>151</v>
      </c>
      <c r="C264" s="384" t="s">
        <v>280</v>
      </c>
      <c r="D264" s="496"/>
      <c r="E264" s="422"/>
      <c r="F264" s="384" t="s">
        <v>280</v>
      </c>
      <c r="G264" s="496"/>
    </row>
    <row r="265" spans="1:7" ht="95.25" customHeight="1">
      <c r="A265" s="384">
        <f t="shared" si="7"/>
        <v>466</v>
      </c>
      <c r="B265" s="384" t="s">
        <v>151</v>
      </c>
      <c r="C265" s="384" t="s">
        <v>281</v>
      </c>
      <c r="D265" s="496"/>
      <c r="E265" s="422"/>
      <c r="F265" s="384" t="s">
        <v>281</v>
      </c>
      <c r="G265" s="496"/>
    </row>
    <row r="266" spans="1:7" ht="12.75" customHeight="1">
      <c r="A266" s="384">
        <f t="shared" si="7"/>
        <v>470</v>
      </c>
      <c r="B266" s="384" t="s">
        <v>145</v>
      </c>
      <c r="C266" s="384" t="s">
        <v>282</v>
      </c>
      <c r="D266" s="491" t="s">
        <v>296</v>
      </c>
      <c r="E266" s="374"/>
      <c r="F266" s="384" t="s">
        <v>282</v>
      </c>
      <c r="G266" s="491" t="s">
        <v>296</v>
      </c>
    </row>
    <row r="267" spans="1:7" ht="59.25" customHeight="1">
      <c r="A267" s="384">
        <f t="shared" si="7"/>
        <v>472</v>
      </c>
      <c r="B267" s="384" t="s">
        <v>145</v>
      </c>
      <c r="C267" s="388" t="s">
        <v>284</v>
      </c>
      <c r="D267" s="491"/>
      <c r="E267" s="374"/>
      <c r="F267" s="388" t="s">
        <v>284</v>
      </c>
      <c r="G267" s="491"/>
    </row>
    <row r="268" spans="1:7" ht="21" customHeight="1">
      <c r="A268" s="403">
        <f t="shared" si="7"/>
        <v>474</v>
      </c>
      <c r="B268" s="404">
        <v>1</v>
      </c>
      <c r="C268" s="490" t="s">
        <v>285</v>
      </c>
      <c r="D268" s="497" t="s">
        <v>286</v>
      </c>
      <c r="E268" s="405"/>
      <c r="F268" s="498" t="s">
        <v>287</v>
      </c>
      <c r="G268" s="498" t="s">
        <v>288</v>
      </c>
    </row>
    <row r="269" spans="1:7" ht="28.05" customHeight="1">
      <c r="A269" s="403">
        <f t="shared" si="7"/>
        <v>475</v>
      </c>
      <c r="B269" s="404">
        <v>1</v>
      </c>
      <c r="C269" s="490"/>
      <c r="D269" s="497"/>
      <c r="E269" s="405"/>
      <c r="F269" s="498"/>
      <c r="G269" s="498"/>
    </row>
    <row r="270" spans="1:7" ht="22.95" customHeight="1">
      <c r="A270" s="403">
        <f t="shared" si="7"/>
        <v>476</v>
      </c>
      <c r="B270" s="404">
        <v>1</v>
      </c>
      <c r="C270" s="490"/>
      <c r="D270" s="497"/>
      <c r="E270" s="405"/>
      <c r="F270" s="498"/>
      <c r="G270" s="498"/>
    </row>
    <row r="271" spans="1:7" ht="24" customHeight="1">
      <c r="A271" s="403">
        <f t="shared" si="7"/>
        <v>477</v>
      </c>
      <c r="B271" s="404">
        <v>1</v>
      </c>
      <c r="C271" s="490" t="s">
        <v>289</v>
      </c>
      <c r="D271" s="497" t="s">
        <v>290</v>
      </c>
      <c r="E271" s="405"/>
      <c r="F271" s="498" t="s">
        <v>291</v>
      </c>
      <c r="G271" s="498" t="s">
        <v>288</v>
      </c>
    </row>
    <row r="272" spans="1:7" ht="31.05" customHeight="1">
      <c r="A272" s="403">
        <f t="shared" si="7"/>
        <v>478</v>
      </c>
      <c r="B272" s="404">
        <v>1</v>
      </c>
      <c r="C272" s="490"/>
      <c r="D272" s="497"/>
      <c r="E272" s="405"/>
      <c r="F272" s="498"/>
      <c r="G272" s="498"/>
    </row>
    <row r="273" spans="1:7" ht="24" customHeight="1">
      <c r="A273" s="403">
        <f t="shared" si="7"/>
        <v>479</v>
      </c>
      <c r="B273" s="404">
        <v>1</v>
      </c>
      <c r="C273" s="490"/>
      <c r="D273" s="497"/>
      <c r="E273" s="405"/>
      <c r="F273" s="498"/>
      <c r="G273" s="498"/>
    </row>
    <row r="274" spans="1:7" ht="33" customHeight="1">
      <c r="A274" s="403">
        <f t="shared" si="7"/>
        <v>480</v>
      </c>
      <c r="B274" s="404">
        <v>1</v>
      </c>
      <c r="C274" s="490" t="s">
        <v>292</v>
      </c>
      <c r="D274" s="497" t="s">
        <v>290</v>
      </c>
      <c r="E274" s="405"/>
      <c r="F274" s="498" t="s">
        <v>293</v>
      </c>
      <c r="G274" s="498" t="s">
        <v>288</v>
      </c>
    </row>
    <row r="275" spans="1:7" ht="25.95" customHeight="1">
      <c r="A275" s="403">
        <f t="shared" si="7"/>
        <v>481</v>
      </c>
      <c r="B275" s="404">
        <v>1</v>
      </c>
      <c r="C275" s="490"/>
      <c r="D275" s="497"/>
      <c r="E275" s="405"/>
      <c r="F275" s="498"/>
      <c r="G275" s="498"/>
    </row>
    <row r="276" spans="1:7" ht="24" customHeight="1">
      <c r="A276" s="403">
        <f t="shared" si="7"/>
        <v>482</v>
      </c>
      <c r="B276" s="404">
        <v>1</v>
      </c>
      <c r="C276" s="490"/>
      <c r="D276" s="497"/>
      <c r="E276" s="405"/>
      <c r="F276" s="498"/>
      <c r="G276" s="498"/>
    </row>
    <row r="277" spans="1:7">
      <c r="A277" s="385">
        <f t="shared" si="7"/>
        <v>483</v>
      </c>
      <c r="B277" s="388"/>
      <c r="C277" s="382" t="s">
        <v>297</v>
      </c>
      <c r="E277" s="374"/>
      <c r="F277" s="382" t="s">
        <v>297</v>
      </c>
      <c r="G277" s="367"/>
    </row>
    <row r="278" spans="1:7" ht="12.75" customHeight="1">
      <c r="A278" s="384">
        <f t="shared" si="7"/>
        <v>483</v>
      </c>
      <c r="B278" s="384">
        <v>3</v>
      </c>
      <c r="C278" s="384" t="s">
        <v>259</v>
      </c>
      <c r="D278" s="493" t="s">
        <v>260</v>
      </c>
      <c r="E278" s="418"/>
      <c r="F278" s="384" t="s">
        <v>259</v>
      </c>
      <c r="G278" s="493" t="s">
        <v>260</v>
      </c>
    </row>
    <row r="279" spans="1:7" ht="36.75" customHeight="1">
      <c r="A279" s="384">
        <f t="shared" si="7"/>
        <v>486</v>
      </c>
      <c r="B279" s="384">
        <v>3</v>
      </c>
      <c r="C279" s="384" t="s">
        <v>261</v>
      </c>
      <c r="D279" s="493"/>
      <c r="E279" s="418"/>
      <c r="F279" s="384" t="s">
        <v>261</v>
      </c>
      <c r="G279" s="493"/>
    </row>
    <row r="280" spans="1:7" ht="24" customHeight="1">
      <c r="A280" s="384">
        <f t="shared" si="7"/>
        <v>489</v>
      </c>
      <c r="B280" s="384">
        <v>3</v>
      </c>
      <c r="C280" s="384" t="s">
        <v>262</v>
      </c>
      <c r="D280" s="494" t="s">
        <v>263</v>
      </c>
      <c r="E280" s="419"/>
      <c r="F280" s="384" t="s">
        <v>262</v>
      </c>
      <c r="G280" s="494" t="s">
        <v>263</v>
      </c>
    </row>
    <row r="281" spans="1:7" ht="22.8">
      <c r="A281" s="384">
        <f t="shared" si="7"/>
        <v>492</v>
      </c>
      <c r="B281" s="384">
        <v>3</v>
      </c>
      <c r="C281" s="384" t="s">
        <v>265</v>
      </c>
      <c r="D281" s="494"/>
      <c r="E281" s="419"/>
      <c r="F281" s="384" t="s">
        <v>265</v>
      </c>
      <c r="G281" s="494"/>
    </row>
    <row r="282" spans="1:7" ht="31.05" customHeight="1">
      <c r="A282" s="385">
        <f t="shared" si="7"/>
        <v>495</v>
      </c>
      <c r="B282" s="384">
        <v>3</v>
      </c>
      <c r="C282" s="384" t="s">
        <v>266</v>
      </c>
      <c r="D282" s="495" t="s">
        <v>267</v>
      </c>
      <c r="E282" s="420"/>
      <c r="F282" s="384" t="s">
        <v>266</v>
      </c>
      <c r="G282" s="495" t="s">
        <v>267</v>
      </c>
    </row>
    <row r="283" spans="1:7" ht="28.05" customHeight="1">
      <c r="A283" s="385">
        <f t="shared" si="7"/>
        <v>498</v>
      </c>
      <c r="B283" s="384">
        <v>3</v>
      </c>
      <c r="C283" s="384" t="s">
        <v>269</v>
      </c>
      <c r="D283" s="495"/>
      <c r="E283" s="420"/>
      <c r="F283" s="384" t="s">
        <v>269</v>
      </c>
      <c r="G283" s="495"/>
    </row>
    <row r="284" spans="1:7" ht="12.75" customHeight="1">
      <c r="A284" s="384">
        <f t="shared" si="7"/>
        <v>501</v>
      </c>
      <c r="B284" s="384">
        <v>3</v>
      </c>
      <c r="C284" s="384" t="s">
        <v>270</v>
      </c>
      <c r="D284" s="495" t="s">
        <v>267</v>
      </c>
      <c r="E284" s="420"/>
      <c r="F284" s="384" t="s">
        <v>270</v>
      </c>
      <c r="G284" s="495" t="s">
        <v>267</v>
      </c>
    </row>
    <row r="285" spans="1:7" ht="37.5" customHeight="1">
      <c r="A285" s="384">
        <f t="shared" si="7"/>
        <v>504</v>
      </c>
      <c r="B285" s="384">
        <v>3</v>
      </c>
      <c r="C285" s="384" t="s">
        <v>271</v>
      </c>
      <c r="D285" s="495"/>
      <c r="E285" s="420"/>
      <c r="F285" s="384" t="s">
        <v>271</v>
      </c>
      <c r="G285" s="495"/>
    </row>
    <row r="286" spans="1:7" ht="12.75" customHeight="1">
      <c r="A286" s="384">
        <f t="shared" si="7"/>
        <v>507</v>
      </c>
      <c r="B286" s="384">
        <v>3</v>
      </c>
      <c r="C286" s="384" t="s">
        <v>272</v>
      </c>
      <c r="D286" s="495" t="s">
        <v>267</v>
      </c>
      <c r="E286" s="420"/>
      <c r="F286" s="384" t="s">
        <v>272</v>
      </c>
      <c r="G286" s="495" t="s">
        <v>267</v>
      </c>
    </row>
    <row r="287" spans="1:7" ht="36" customHeight="1">
      <c r="A287" s="384">
        <f t="shared" si="7"/>
        <v>510</v>
      </c>
      <c r="B287" s="384">
        <v>3</v>
      </c>
      <c r="C287" s="384" t="s">
        <v>273</v>
      </c>
      <c r="D287" s="495"/>
      <c r="E287" s="420"/>
      <c r="F287" s="384" t="s">
        <v>273</v>
      </c>
      <c r="G287" s="495"/>
    </row>
    <row r="288" spans="1:7" ht="12.75" customHeight="1">
      <c r="A288" s="384">
        <f t="shared" si="7"/>
        <v>513</v>
      </c>
      <c r="B288" s="384">
        <v>3</v>
      </c>
      <c r="C288" s="384" t="s">
        <v>274</v>
      </c>
      <c r="D288" s="493" t="s">
        <v>260</v>
      </c>
      <c r="E288" s="418"/>
      <c r="F288" s="384" t="s">
        <v>274</v>
      </c>
      <c r="G288" s="493" t="s">
        <v>260</v>
      </c>
    </row>
    <row r="289" spans="1:7" ht="36.75" customHeight="1">
      <c r="A289" s="384">
        <f t="shared" si="7"/>
        <v>516</v>
      </c>
      <c r="B289" s="384">
        <v>3</v>
      </c>
      <c r="C289" s="384" t="s">
        <v>275</v>
      </c>
      <c r="D289" s="493"/>
      <c r="E289" s="418"/>
      <c r="F289" s="384" t="s">
        <v>275</v>
      </c>
      <c r="G289" s="493"/>
    </row>
    <row r="290" spans="1:7" ht="12.75" customHeight="1">
      <c r="A290" s="384">
        <f t="shared" si="7"/>
        <v>519</v>
      </c>
      <c r="B290" s="384">
        <v>4</v>
      </c>
      <c r="C290" s="384" t="s">
        <v>276</v>
      </c>
      <c r="D290" s="496" t="s">
        <v>277</v>
      </c>
      <c r="E290" s="422"/>
      <c r="F290" s="384" t="s">
        <v>276</v>
      </c>
      <c r="G290" s="496" t="s">
        <v>277</v>
      </c>
    </row>
    <row r="291" spans="1:7">
      <c r="A291" s="384">
        <f t="shared" si="7"/>
        <v>523</v>
      </c>
      <c r="B291" s="384" t="s">
        <v>151</v>
      </c>
      <c r="C291" s="384" t="s">
        <v>278</v>
      </c>
      <c r="D291" s="496"/>
      <c r="E291" s="422"/>
      <c r="F291" s="384" t="s">
        <v>278</v>
      </c>
      <c r="G291" s="496"/>
    </row>
    <row r="292" spans="1:7">
      <c r="A292" s="384">
        <f t="shared" ref="A292:A320" si="8">A291+B291</f>
        <v>527</v>
      </c>
      <c r="B292" s="384" t="s">
        <v>151</v>
      </c>
      <c r="C292" s="384" t="s">
        <v>279</v>
      </c>
      <c r="D292" s="496"/>
      <c r="E292" s="422"/>
      <c r="F292" s="384" t="s">
        <v>279</v>
      </c>
      <c r="G292" s="496"/>
    </row>
    <row r="293" spans="1:7">
      <c r="A293" s="384">
        <f t="shared" si="8"/>
        <v>531</v>
      </c>
      <c r="B293" s="384" t="s">
        <v>151</v>
      </c>
      <c r="C293" s="384" t="s">
        <v>280</v>
      </c>
      <c r="D293" s="496"/>
      <c r="E293" s="422"/>
      <c r="F293" s="384" t="s">
        <v>280</v>
      </c>
      <c r="G293" s="496"/>
    </row>
    <row r="294" spans="1:7" ht="93" customHeight="1">
      <c r="A294" s="384">
        <f t="shared" si="8"/>
        <v>535</v>
      </c>
      <c r="B294" s="384" t="s">
        <v>151</v>
      </c>
      <c r="C294" s="384" t="s">
        <v>281</v>
      </c>
      <c r="D294" s="496"/>
      <c r="E294" s="422"/>
      <c r="F294" s="384" t="s">
        <v>281</v>
      </c>
      <c r="G294" s="496"/>
    </row>
    <row r="295" spans="1:7" ht="12.75" customHeight="1">
      <c r="A295" s="384">
        <f t="shared" si="8"/>
        <v>539</v>
      </c>
      <c r="B295" s="384" t="s">
        <v>145</v>
      </c>
      <c r="C295" s="384" t="s">
        <v>282</v>
      </c>
      <c r="D295" s="491" t="s">
        <v>298</v>
      </c>
      <c r="E295" s="374"/>
      <c r="F295" s="384" t="s">
        <v>282</v>
      </c>
      <c r="G295" s="491" t="s">
        <v>298</v>
      </c>
    </row>
    <row r="296" spans="1:7" ht="60" customHeight="1">
      <c r="A296" s="384">
        <f t="shared" si="8"/>
        <v>541</v>
      </c>
      <c r="B296" s="384" t="s">
        <v>145</v>
      </c>
      <c r="C296" s="388" t="s">
        <v>284</v>
      </c>
      <c r="D296" s="491"/>
      <c r="E296" s="374"/>
      <c r="F296" s="388" t="s">
        <v>284</v>
      </c>
      <c r="G296" s="491"/>
    </row>
    <row r="297" spans="1:7" ht="28.95" customHeight="1">
      <c r="A297" s="403">
        <f t="shared" si="8"/>
        <v>543</v>
      </c>
      <c r="B297" s="404">
        <v>1</v>
      </c>
      <c r="C297" s="490" t="s">
        <v>285</v>
      </c>
      <c r="D297" s="497" t="s">
        <v>286</v>
      </c>
      <c r="E297" s="405"/>
      <c r="F297" s="498" t="s">
        <v>287</v>
      </c>
      <c r="G297" s="498" t="s">
        <v>288</v>
      </c>
    </row>
    <row r="298" spans="1:7" ht="27" customHeight="1">
      <c r="A298" s="403">
        <f t="shared" si="8"/>
        <v>544</v>
      </c>
      <c r="B298" s="404">
        <v>1</v>
      </c>
      <c r="C298" s="490"/>
      <c r="D298" s="497"/>
      <c r="E298" s="405"/>
      <c r="F298" s="498"/>
      <c r="G298" s="498"/>
    </row>
    <row r="299" spans="1:7" ht="28.05" customHeight="1">
      <c r="A299" s="403">
        <f t="shared" si="8"/>
        <v>545</v>
      </c>
      <c r="B299" s="404">
        <v>1</v>
      </c>
      <c r="C299" s="490"/>
      <c r="D299" s="497"/>
      <c r="E299" s="405"/>
      <c r="F299" s="498"/>
      <c r="G299" s="498"/>
    </row>
    <row r="300" spans="1:7" ht="28.05" customHeight="1">
      <c r="A300" s="403">
        <f t="shared" si="8"/>
        <v>546</v>
      </c>
      <c r="B300" s="404">
        <v>1</v>
      </c>
      <c r="C300" s="490" t="s">
        <v>289</v>
      </c>
      <c r="D300" s="497" t="s">
        <v>290</v>
      </c>
      <c r="E300" s="405"/>
      <c r="F300" s="498" t="s">
        <v>291</v>
      </c>
      <c r="G300" s="498" t="s">
        <v>288</v>
      </c>
    </row>
    <row r="301" spans="1:7" ht="24" customHeight="1">
      <c r="A301" s="403">
        <f t="shared" si="8"/>
        <v>547</v>
      </c>
      <c r="B301" s="404">
        <v>1</v>
      </c>
      <c r="C301" s="490"/>
      <c r="D301" s="497"/>
      <c r="E301" s="405"/>
      <c r="F301" s="498"/>
      <c r="G301" s="498"/>
    </row>
    <row r="302" spans="1:7" ht="27" customHeight="1">
      <c r="A302" s="403">
        <f t="shared" si="8"/>
        <v>548</v>
      </c>
      <c r="B302" s="404">
        <v>1</v>
      </c>
      <c r="C302" s="490"/>
      <c r="D302" s="497"/>
      <c r="E302" s="405"/>
      <c r="F302" s="498"/>
      <c r="G302" s="498"/>
    </row>
    <row r="303" spans="1:7" ht="24" customHeight="1">
      <c r="A303" s="403">
        <f t="shared" si="8"/>
        <v>549</v>
      </c>
      <c r="B303" s="404">
        <v>1</v>
      </c>
      <c r="C303" s="490" t="s">
        <v>292</v>
      </c>
      <c r="D303" s="497" t="s">
        <v>290</v>
      </c>
      <c r="E303" s="405"/>
      <c r="F303" s="498" t="s">
        <v>293</v>
      </c>
      <c r="G303" s="498" t="s">
        <v>288</v>
      </c>
    </row>
    <row r="304" spans="1:7" ht="25.95" customHeight="1">
      <c r="A304" s="403">
        <f t="shared" si="8"/>
        <v>550</v>
      </c>
      <c r="B304" s="404">
        <v>1</v>
      </c>
      <c r="C304" s="490"/>
      <c r="D304" s="497"/>
      <c r="E304" s="405"/>
      <c r="F304" s="498"/>
      <c r="G304" s="498"/>
    </row>
    <row r="305" spans="1:7" ht="30" customHeight="1">
      <c r="A305" s="403">
        <f t="shared" si="8"/>
        <v>551</v>
      </c>
      <c r="B305" s="404">
        <v>1</v>
      </c>
      <c r="C305" s="490"/>
      <c r="D305" s="497"/>
      <c r="E305" s="405"/>
      <c r="F305" s="498"/>
      <c r="G305" s="498"/>
    </row>
    <row r="306" spans="1:7">
      <c r="A306" s="385">
        <f t="shared" si="8"/>
        <v>552</v>
      </c>
      <c r="B306" s="388"/>
      <c r="C306" s="382" t="s">
        <v>299</v>
      </c>
      <c r="E306" s="374"/>
      <c r="F306" s="382" t="s">
        <v>299</v>
      </c>
      <c r="G306" s="367"/>
    </row>
    <row r="307" spans="1:7" ht="12.75" customHeight="1">
      <c r="A307" s="384">
        <f t="shared" si="8"/>
        <v>552</v>
      </c>
      <c r="B307" s="384">
        <v>3</v>
      </c>
      <c r="C307" s="384" t="s">
        <v>259</v>
      </c>
      <c r="D307" s="493" t="s">
        <v>260</v>
      </c>
      <c r="E307" s="418"/>
      <c r="F307" s="384" t="s">
        <v>259</v>
      </c>
      <c r="G307" s="493" t="s">
        <v>260</v>
      </c>
    </row>
    <row r="308" spans="1:7" ht="36.75" customHeight="1">
      <c r="A308" s="384">
        <f t="shared" si="8"/>
        <v>555</v>
      </c>
      <c r="B308" s="384">
        <v>3</v>
      </c>
      <c r="C308" s="384" t="s">
        <v>261</v>
      </c>
      <c r="D308" s="493"/>
      <c r="E308" s="418"/>
      <c r="F308" s="384" t="s">
        <v>261</v>
      </c>
      <c r="G308" s="493"/>
    </row>
    <row r="309" spans="1:7" ht="24" customHeight="1">
      <c r="A309" s="384">
        <f t="shared" si="8"/>
        <v>558</v>
      </c>
      <c r="B309" s="384">
        <v>3</v>
      </c>
      <c r="C309" s="384" t="s">
        <v>262</v>
      </c>
      <c r="D309" s="494" t="s">
        <v>263</v>
      </c>
      <c r="E309" s="419"/>
      <c r="F309" s="384" t="s">
        <v>262</v>
      </c>
      <c r="G309" s="494" t="s">
        <v>263</v>
      </c>
    </row>
    <row r="310" spans="1:7" ht="22.8">
      <c r="A310" s="384">
        <f t="shared" si="8"/>
        <v>561</v>
      </c>
      <c r="B310" s="384">
        <v>3</v>
      </c>
      <c r="C310" s="384" t="s">
        <v>265</v>
      </c>
      <c r="D310" s="494"/>
      <c r="E310" s="419"/>
      <c r="F310" s="384" t="s">
        <v>265</v>
      </c>
      <c r="G310" s="494"/>
    </row>
    <row r="311" spans="1:7" ht="24" customHeight="1">
      <c r="A311" s="385">
        <f t="shared" si="8"/>
        <v>564</v>
      </c>
      <c r="B311" s="384">
        <v>3</v>
      </c>
      <c r="C311" s="384" t="s">
        <v>266</v>
      </c>
      <c r="D311" s="495" t="s">
        <v>267</v>
      </c>
      <c r="E311" s="420"/>
      <c r="F311" s="384" t="s">
        <v>266</v>
      </c>
      <c r="G311" s="495" t="s">
        <v>267</v>
      </c>
    </row>
    <row r="312" spans="1:7" ht="28.05" customHeight="1">
      <c r="A312" s="385">
        <f t="shared" si="8"/>
        <v>567</v>
      </c>
      <c r="B312" s="384">
        <v>3</v>
      </c>
      <c r="C312" s="384" t="s">
        <v>269</v>
      </c>
      <c r="D312" s="495"/>
      <c r="E312" s="420"/>
      <c r="F312" s="384" t="s">
        <v>269</v>
      </c>
      <c r="G312" s="495"/>
    </row>
    <row r="313" spans="1:7" ht="12.75" customHeight="1">
      <c r="A313" s="384">
        <f t="shared" si="8"/>
        <v>570</v>
      </c>
      <c r="B313" s="384">
        <v>3</v>
      </c>
      <c r="C313" s="384" t="s">
        <v>270</v>
      </c>
      <c r="D313" s="495" t="s">
        <v>267</v>
      </c>
      <c r="E313" s="420"/>
      <c r="F313" s="384" t="s">
        <v>270</v>
      </c>
      <c r="G313" s="495" t="s">
        <v>267</v>
      </c>
    </row>
    <row r="314" spans="1:7" ht="36.75" customHeight="1">
      <c r="A314" s="384">
        <f t="shared" si="8"/>
        <v>573</v>
      </c>
      <c r="B314" s="384">
        <v>3</v>
      </c>
      <c r="C314" s="384" t="s">
        <v>271</v>
      </c>
      <c r="D314" s="495"/>
      <c r="E314" s="420"/>
      <c r="F314" s="384" t="s">
        <v>271</v>
      </c>
      <c r="G314" s="495"/>
    </row>
    <row r="315" spans="1:7" ht="58.95" customHeight="1">
      <c r="A315" s="384">
        <f t="shared" si="8"/>
        <v>576</v>
      </c>
      <c r="B315" s="384">
        <v>3</v>
      </c>
      <c r="C315" s="384" t="s">
        <v>272</v>
      </c>
      <c r="D315" s="495" t="s">
        <v>267</v>
      </c>
      <c r="E315" s="420"/>
      <c r="F315" s="384" t="s">
        <v>272</v>
      </c>
      <c r="G315" s="495" t="s">
        <v>267</v>
      </c>
    </row>
    <row r="316" spans="1:7" ht="34.5" customHeight="1">
      <c r="A316" s="384">
        <f t="shared" si="8"/>
        <v>579</v>
      </c>
      <c r="B316" s="384">
        <v>3</v>
      </c>
      <c r="C316" s="384" t="s">
        <v>273</v>
      </c>
      <c r="D316" s="495"/>
      <c r="E316" s="420"/>
      <c r="F316" s="384" t="s">
        <v>273</v>
      </c>
      <c r="G316" s="495"/>
    </row>
    <row r="317" spans="1:7" ht="12.75" customHeight="1">
      <c r="A317" s="384">
        <f t="shared" si="8"/>
        <v>582</v>
      </c>
      <c r="B317" s="384">
        <v>3</v>
      </c>
      <c r="C317" s="384" t="s">
        <v>274</v>
      </c>
      <c r="D317" s="493" t="s">
        <v>260</v>
      </c>
      <c r="E317" s="418"/>
      <c r="F317" s="384" t="s">
        <v>274</v>
      </c>
      <c r="G317" s="493" t="s">
        <v>260</v>
      </c>
    </row>
    <row r="318" spans="1:7" ht="36.75" customHeight="1">
      <c r="A318" s="384">
        <f t="shared" si="8"/>
        <v>585</v>
      </c>
      <c r="B318" s="384">
        <v>3</v>
      </c>
      <c r="C318" s="384" t="s">
        <v>275</v>
      </c>
      <c r="D318" s="493"/>
      <c r="E318" s="418"/>
      <c r="F318" s="384" t="s">
        <v>275</v>
      </c>
      <c r="G318" s="493"/>
    </row>
    <row r="319" spans="1:7" ht="12.75" customHeight="1">
      <c r="A319" s="384">
        <f t="shared" si="8"/>
        <v>588</v>
      </c>
      <c r="B319" s="384">
        <v>4</v>
      </c>
      <c r="C319" s="384" t="s">
        <v>276</v>
      </c>
      <c r="D319" s="496" t="s">
        <v>277</v>
      </c>
      <c r="E319" s="422"/>
      <c r="F319" s="384" t="s">
        <v>276</v>
      </c>
      <c r="G319" s="496" t="s">
        <v>277</v>
      </c>
    </row>
    <row r="320" spans="1:7">
      <c r="A320" s="384">
        <f t="shared" si="8"/>
        <v>592</v>
      </c>
      <c r="B320" s="384" t="s">
        <v>151</v>
      </c>
      <c r="C320" s="384" t="s">
        <v>278</v>
      </c>
      <c r="D320" s="496"/>
      <c r="E320" s="422"/>
      <c r="F320" s="384" t="s">
        <v>278</v>
      </c>
      <c r="G320" s="496"/>
    </row>
    <row r="321" spans="1:7">
      <c r="A321" s="384">
        <f t="shared" ref="A321:A335" si="9">A320+B320</f>
        <v>596</v>
      </c>
      <c r="B321" s="384" t="s">
        <v>151</v>
      </c>
      <c r="C321" s="384" t="s">
        <v>279</v>
      </c>
      <c r="D321" s="496"/>
      <c r="E321" s="422"/>
      <c r="F321" s="384" t="s">
        <v>279</v>
      </c>
      <c r="G321" s="496"/>
    </row>
    <row r="322" spans="1:7">
      <c r="A322" s="384">
        <f t="shared" si="9"/>
        <v>600</v>
      </c>
      <c r="B322" s="384" t="s">
        <v>151</v>
      </c>
      <c r="C322" s="384" t="s">
        <v>280</v>
      </c>
      <c r="D322" s="496"/>
      <c r="E322" s="422"/>
      <c r="F322" s="384" t="s">
        <v>280</v>
      </c>
      <c r="G322" s="496"/>
    </row>
    <row r="323" spans="1:7" ht="93.75" customHeight="1">
      <c r="A323" s="384">
        <f t="shared" si="9"/>
        <v>604</v>
      </c>
      <c r="B323" s="384" t="s">
        <v>151</v>
      </c>
      <c r="C323" s="384" t="s">
        <v>281</v>
      </c>
      <c r="D323" s="496"/>
      <c r="E323" s="422"/>
      <c r="F323" s="384" t="s">
        <v>281</v>
      </c>
      <c r="G323" s="496"/>
    </row>
    <row r="324" spans="1:7" ht="12.75" customHeight="1">
      <c r="A324" s="384">
        <f t="shared" si="9"/>
        <v>608</v>
      </c>
      <c r="B324" s="384" t="s">
        <v>145</v>
      </c>
      <c r="C324" s="384" t="s">
        <v>282</v>
      </c>
      <c r="D324" s="491" t="s">
        <v>300</v>
      </c>
      <c r="E324" s="374"/>
      <c r="F324" s="384" t="s">
        <v>282</v>
      </c>
      <c r="G324" s="491" t="s">
        <v>300</v>
      </c>
    </row>
    <row r="325" spans="1:7" ht="63" customHeight="1">
      <c r="A325" s="384">
        <f t="shared" si="9"/>
        <v>610</v>
      </c>
      <c r="B325" s="384" t="s">
        <v>145</v>
      </c>
      <c r="C325" s="388" t="s">
        <v>284</v>
      </c>
      <c r="D325" s="491"/>
      <c r="E325" s="374"/>
      <c r="F325" s="388" t="s">
        <v>284</v>
      </c>
      <c r="G325" s="491"/>
    </row>
    <row r="326" spans="1:7" ht="24" customHeight="1">
      <c r="A326" s="403">
        <f t="shared" si="9"/>
        <v>612</v>
      </c>
      <c r="B326" s="404">
        <v>1</v>
      </c>
      <c r="C326" s="490" t="s">
        <v>285</v>
      </c>
      <c r="D326" s="497" t="s">
        <v>286</v>
      </c>
      <c r="E326" s="405"/>
      <c r="F326" s="498" t="s">
        <v>287</v>
      </c>
      <c r="G326" s="498" t="s">
        <v>288</v>
      </c>
    </row>
    <row r="327" spans="1:7" ht="22.95" customHeight="1">
      <c r="A327" s="403">
        <f t="shared" si="9"/>
        <v>613</v>
      </c>
      <c r="B327" s="404">
        <v>1</v>
      </c>
      <c r="C327" s="490"/>
      <c r="D327" s="497"/>
      <c r="E327" s="405"/>
      <c r="F327" s="498"/>
      <c r="G327" s="498"/>
    </row>
    <row r="328" spans="1:7" ht="25.95" customHeight="1">
      <c r="A328" s="403">
        <f t="shared" si="9"/>
        <v>614</v>
      </c>
      <c r="B328" s="404">
        <v>1</v>
      </c>
      <c r="C328" s="490"/>
      <c r="D328" s="497"/>
      <c r="E328" s="405"/>
      <c r="F328" s="498"/>
      <c r="G328" s="498"/>
    </row>
    <row r="329" spans="1:7" ht="28.05" customHeight="1">
      <c r="A329" s="403">
        <f t="shared" si="9"/>
        <v>615</v>
      </c>
      <c r="B329" s="404">
        <v>1</v>
      </c>
      <c r="C329" s="490" t="s">
        <v>289</v>
      </c>
      <c r="D329" s="497" t="s">
        <v>290</v>
      </c>
      <c r="E329" s="405"/>
      <c r="F329" s="498" t="s">
        <v>291</v>
      </c>
      <c r="G329" s="498" t="s">
        <v>288</v>
      </c>
    </row>
    <row r="330" spans="1:7" ht="22.05" customHeight="1">
      <c r="A330" s="403">
        <f t="shared" si="9"/>
        <v>616</v>
      </c>
      <c r="B330" s="404">
        <v>1</v>
      </c>
      <c r="C330" s="490"/>
      <c r="D330" s="497"/>
      <c r="E330" s="405"/>
      <c r="F330" s="498"/>
      <c r="G330" s="498"/>
    </row>
    <row r="331" spans="1:7" ht="22.95" customHeight="1">
      <c r="A331" s="403">
        <f t="shared" si="9"/>
        <v>617</v>
      </c>
      <c r="B331" s="404">
        <v>1</v>
      </c>
      <c r="C331" s="490"/>
      <c r="D331" s="497"/>
      <c r="E331" s="405"/>
      <c r="F331" s="498"/>
      <c r="G331" s="498"/>
    </row>
    <row r="332" spans="1:7" ht="25.05" customHeight="1">
      <c r="A332" s="403">
        <f t="shared" si="9"/>
        <v>618</v>
      </c>
      <c r="B332" s="404">
        <v>1</v>
      </c>
      <c r="C332" s="490" t="s">
        <v>292</v>
      </c>
      <c r="D332" s="497" t="s">
        <v>290</v>
      </c>
      <c r="E332" s="405"/>
      <c r="F332" s="498" t="s">
        <v>293</v>
      </c>
      <c r="G332" s="498" t="s">
        <v>288</v>
      </c>
    </row>
    <row r="333" spans="1:7" ht="25.05" customHeight="1">
      <c r="A333" s="403">
        <f t="shared" si="9"/>
        <v>619</v>
      </c>
      <c r="B333" s="404">
        <v>1</v>
      </c>
      <c r="C333" s="490"/>
      <c r="D333" s="497"/>
      <c r="E333" s="405"/>
      <c r="F333" s="498"/>
      <c r="G333" s="498"/>
    </row>
    <row r="334" spans="1:7" ht="24" customHeight="1">
      <c r="A334" s="403">
        <f t="shared" si="9"/>
        <v>620</v>
      </c>
      <c r="B334" s="404">
        <v>1</v>
      </c>
      <c r="C334" s="490"/>
      <c r="D334" s="497"/>
      <c r="E334" s="405"/>
      <c r="F334" s="498"/>
      <c r="G334" s="498"/>
    </row>
    <row r="335" spans="1:7">
      <c r="A335" s="385">
        <f t="shared" si="9"/>
        <v>621</v>
      </c>
      <c r="B335" s="388"/>
      <c r="C335" s="395" t="s">
        <v>301</v>
      </c>
      <c r="E335" s="374"/>
      <c r="F335" s="395" t="s">
        <v>301</v>
      </c>
    </row>
    <row r="336" spans="1:7" ht="12.75" customHeight="1">
      <c r="A336" s="384">
        <f t="shared" ref="A336:A369" si="10">A335+B335</f>
        <v>621</v>
      </c>
      <c r="B336" s="388" t="s">
        <v>163</v>
      </c>
      <c r="C336" s="388" t="s">
        <v>302</v>
      </c>
      <c r="D336" s="497" t="s">
        <v>174</v>
      </c>
      <c r="E336" s="374"/>
      <c r="F336" s="388" t="s">
        <v>302</v>
      </c>
      <c r="G336" s="491" t="s">
        <v>174</v>
      </c>
    </row>
    <row r="337" spans="1:9">
      <c r="A337" s="384">
        <f t="shared" si="10"/>
        <v>622</v>
      </c>
      <c r="B337" s="388" t="s">
        <v>163</v>
      </c>
      <c r="C337" s="388" t="s">
        <v>303</v>
      </c>
      <c r="D337" s="497"/>
      <c r="E337" s="374"/>
      <c r="F337" s="388" t="s">
        <v>303</v>
      </c>
      <c r="G337" s="491"/>
    </row>
    <row r="338" spans="1:9">
      <c r="A338" s="384">
        <f t="shared" si="10"/>
        <v>623</v>
      </c>
      <c r="B338" s="388" t="s">
        <v>163</v>
      </c>
      <c r="C338" s="388" t="s">
        <v>304</v>
      </c>
      <c r="D338" s="497"/>
      <c r="E338" s="374"/>
      <c r="F338" s="388" t="s">
        <v>304</v>
      </c>
      <c r="G338" s="491"/>
    </row>
    <row r="339" spans="1:9">
      <c r="A339" s="384">
        <f t="shared" si="10"/>
        <v>624</v>
      </c>
      <c r="B339" s="388" t="s">
        <v>163</v>
      </c>
      <c r="C339" s="388" t="s">
        <v>305</v>
      </c>
      <c r="D339" s="497"/>
      <c r="E339" s="374"/>
      <c r="F339" s="388" t="s">
        <v>305</v>
      </c>
      <c r="G339" s="491"/>
    </row>
    <row r="340" spans="1:9">
      <c r="A340" s="384">
        <f t="shared" si="10"/>
        <v>625</v>
      </c>
      <c r="B340" s="388" t="s">
        <v>163</v>
      </c>
      <c r="C340" s="388" t="s">
        <v>306</v>
      </c>
      <c r="D340" s="497"/>
      <c r="E340" s="374"/>
      <c r="F340" s="388" t="s">
        <v>306</v>
      </c>
      <c r="G340" s="491"/>
    </row>
    <row r="341" spans="1:9" s="363" customFormat="1">
      <c r="A341" s="385">
        <f t="shared" si="10"/>
        <v>626</v>
      </c>
      <c r="B341" s="424" t="s">
        <v>163</v>
      </c>
      <c r="C341" s="424" t="s">
        <v>307</v>
      </c>
      <c r="D341" s="497"/>
      <c r="E341" s="374"/>
      <c r="F341" s="424" t="s">
        <v>307</v>
      </c>
      <c r="G341" s="491"/>
      <c r="H341" s="329"/>
      <c r="I341" s="329"/>
    </row>
    <row r="342" spans="1:9" ht="30" customHeight="1">
      <c r="A342" s="403">
        <f t="shared" si="10"/>
        <v>627</v>
      </c>
      <c r="B342" s="404" t="s">
        <v>163</v>
      </c>
      <c r="C342" s="404" t="s">
        <v>308</v>
      </c>
      <c r="D342" s="497"/>
      <c r="E342" s="374"/>
      <c r="F342" s="498" t="s">
        <v>309</v>
      </c>
      <c r="G342" s="498" t="s">
        <v>288</v>
      </c>
    </row>
    <row r="343" spans="1:9" ht="24" customHeight="1">
      <c r="A343" s="403">
        <f t="shared" si="10"/>
        <v>628</v>
      </c>
      <c r="B343" s="404" t="s">
        <v>163</v>
      </c>
      <c r="C343" s="404" t="s">
        <v>310</v>
      </c>
      <c r="D343" s="497"/>
      <c r="E343" s="374"/>
      <c r="F343" s="498"/>
      <c r="G343" s="498"/>
    </row>
    <row r="344" spans="1:9" ht="24" customHeight="1">
      <c r="A344" s="403">
        <f t="shared" si="10"/>
        <v>629</v>
      </c>
      <c r="B344" s="404" t="s">
        <v>163</v>
      </c>
      <c r="C344" s="404" t="s">
        <v>311</v>
      </c>
      <c r="D344" s="497"/>
      <c r="E344" s="374"/>
      <c r="F344" s="498"/>
      <c r="G344" s="498"/>
    </row>
    <row r="345" spans="1:9" ht="22.95" customHeight="1">
      <c r="A345" s="410">
        <f t="shared" si="10"/>
        <v>630</v>
      </c>
      <c r="B345" s="424" t="s">
        <v>163</v>
      </c>
      <c r="C345" s="424" t="s">
        <v>312</v>
      </c>
      <c r="D345" s="497"/>
      <c r="E345" s="374"/>
      <c r="F345" s="499" t="s">
        <v>313</v>
      </c>
      <c r="G345" s="500" t="s">
        <v>267</v>
      </c>
    </row>
    <row r="346" spans="1:9" ht="16.95" customHeight="1">
      <c r="A346" s="410">
        <f t="shared" si="10"/>
        <v>631</v>
      </c>
      <c r="B346" s="424" t="s">
        <v>163</v>
      </c>
      <c r="C346" s="424" t="s">
        <v>314</v>
      </c>
      <c r="D346" s="497"/>
      <c r="E346" s="374"/>
      <c r="F346" s="499"/>
      <c r="G346" s="501"/>
    </row>
    <row r="347" spans="1:9" ht="16.05" customHeight="1">
      <c r="A347" s="410">
        <f t="shared" si="10"/>
        <v>632</v>
      </c>
      <c r="B347" s="424" t="s">
        <v>163</v>
      </c>
      <c r="C347" s="393" t="s">
        <v>315</v>
      </c>
      <c r="D347" s="497"/>
      <c r="E347" s="374"/>
      <c r="F347" s="499"/>
      <c r="G347" s="501"/>
    </row>
    <row r="348" spans="1:9" ht="19.95" customHeight="1">
      <c r="A348" s="410">
        <f t="shared" si="10"/>
        <v>633</v>
      </c>
      <c r="B348" s="424" t="s">
        <v>163</v>
      </c>
      <c r="C348" s="393" t="s">
        <v>316</v>
      </c>
      <c r="D348" s="497"/>
      <c r="E348" s="374"/>
      <c r="F348" s="499" t="s">
        <v>317</v>
      </c>
      <c r="G348" s="500" t="s">
        <v>260</v>
      </c>
    </row>
    <row r="349" spans="1:9" ht="21" customHeight="1">
      <c r="A349" s="410">
        <f t="shared" si="10"/>
        <v>634</v>
      </c>
      <c r="B349" s="424" t="s">
        <v>163</v>
      </c>
      <c r="C349" s="393" t="s">
        <v>318</v>
      </c>
      <c r="D349" s="497"/>
      <c r="E349" s="374"/>
      <c r="F349" s="499"/>
      <c r="G349" s="501"/>
    </row>
    <row r="350" spans="1:9">
      <c r="A350" s="410">
        <f t="shared" si="10"/>
        <v>635</v>
      </c>
      <c r="B350" s="424" t="s">
        <v>163</v>
      </c>
      <c r="C350" s="393" t="s">
        <v>319</v>
      </c>
      <c r="D350" s="497"/>
      <c r="E350" s="374"/>
      <c r="F350" s="499"/>
      <c r="G350" s="501"/>
    </row>
    <row r="351" spans="1:9">
      <c r="A351" s="384">
        <f t="shared" si="10"/>
        <v>636</v>
      </c>
      <c r="B351" s="388"/>
      <c r="C351" s="395" t="s">
        <v>320</v>
      </c>
      <c r="D351" s="425"/>
      <c r="E351" s="426"/>
      <c r="F351" s="395" t="s">
        <v>320</v>
      </c>
    </row>
    <row r="352" spans="1:9" ht="12.75" customHeight="1">
      <c r="A352" s="384">
        <f t="shared" si="10"/>
        <v>636</v>
      </c>
      <c r="B352" s="388" t="s">
        <v>163</v>
      </c>
      <c r="C352" s="388" t="s">
        <v>302</v>
      </c>
      <c r="D352" s="491" t="s">
        <v>174</v>
      </c>
      <c r="E352" s="374"/>
      <c r="F352" s="388" t="s">
        <v>302</v>
      </c>
      <c r="G352" s="491" t="s">
        <v>174</v>
      </c>
    </row>
    <row r="353" spans="1:7">
      <c r="A353" s="384">
        <f t="shared" si="10"/>
        <v>637</v>
      </c>
      <c r="B353" s="388" t="s">
        <v>163</v>
      </c>
      <c r="C353" s="388" t="s">
        <v>303</v>
      </c>
      <c r="D353" s="491"/>
      <c r="E353" s="374"/>
      <c r="F353" s="388" t="s">
        <v>303</v>
      </c>
      <c r="G353" s="491"/>
    </row>
    <row r="354" spans="1:7">
      <c r="A354" s="384">
        <f t="shared" si="10"/>
        <v>638</v>
      </c>
      <c r="B354" s="388" t="s">
        <v>163</v>
      </c>
      <c r="C354" s="388" t="s">
        <v>304</v>
      </c>
      <c r="D354" s="491"/>
      <c r="E354" s="374"/>
      <c r="F354" s="388" t="s">
        <v>304</v>
      </c>
      <c r="G354" s="491"/>
    </row>
    <row r="355" spans="1:7">
      <c r="A355" s="384">
        <f t="shared" si="10"/>
        <v>639</v>
      </c>
      <c r="B355" s="388" t="s">
        <v>163</v>
      </c>
      <c r="C355" s="388" t="s">
        <v>305</v>
      </c>
      <c r="D355" s="491"/>
      <c r="E355" s="374"/>
      <c r="F355" s="388" t="s">
        <v>305</v>
      </c>
      <c r="G355" s="491"/>
    </row>
    <row r="356" spans="1:7">
      <c r="A356" s="384">
        <f t="shared" si="10"/>
        <v>640</v>
      </c>
      <c r="B356" s="388" t="s">
        <v>163</v>
      </c>
      <c r="C356" s="388" t="s">
        <v>306</v>
      </c>
      <c r="D356" s="491"/>
      <c r="E356" s="374"/>
      <c r="F356" s="388" t="s">
        <v>306</v>
      </c>
      <c r="G356" s="491"/>
    </row>
    <row r="357" spans="1:7">
      <c r="A357" s="384">
        <f t="shared" si="10"/>
        <v>641</v>
      </c>
      <c r="B357" s="388" t="s">
        <v>163</v>
      </c>
      <c r="C357" s="388" t="s">
        <v>307</v>
      </c>
      <c r="D357" s="491"/>
      <c r="E357" s="374"/>
      <c r="F357" s="424" t="s">
        <v>307</v>
      </c>
      <c r="G357" s="491"/>
    </row>
    <row r="358" spans="1:7" ht="25.95" customHeight="1">
      <c r="A358" s="403">
        <f t="shared" si="10"/>
        <v>642</v>
      </c>
      <c r="B358" s="404" t="s">
        <v>163</v>
      </c>
      <c r="C358" s="404" t="s">
        <v>308</v>
      </c>
      <c r="D358" s="491"/>
      <c r="E358" s="374"/>
      <c r="F358" s="498" t="s">
        <v>309</v>
      </c>
      <c r="G358" s="498" t="s">
        <v>288</v>
      </c>
    </row>
    <row r="359" spans="1:7" ht="22.95" customHeight="1">
      <c r="A359" s="403">
        <f t="shared" si="10"/>
        <v>643</v>
      </c>
      <c r="B359" s="404" t="s">
        <v>163</v>
      </c>
      <c r="C359" s="404" t="s">
        <v>310</v>
      </c>
      <c r="D359" s="491"/>
      <c r="E359" s="374"/>
      <c r="F359" s="498"/>
      <c r="G359" s="498"/>
    </row>
    <row r="360" spans="1:7" ht="28.05" customHeight="1">
      <c r="A360" s="403">
        <f t="shared" si="10"/>
        <v>644</v>
      </c>
      <c r="B360" s="404" t="s">
        <v>163</v>
      </c>
      <c r="C360" s="404" t="s">
        <v>311</v>
      </c>
      <c r="D360" s="491"/>
      <c r="E360" s="374"/>
      <c r="F360" s="498"/>
      <c r="G360" s="498"/>
    </row>
    <row r="361" spans="1:7">
      <c r="A361" s="410">
        <f t="shared" si="10"/>
        <v>645</v>
      </c>
      <c r="B361" s="424" t="s">
        <v>163</v>
      </c>
      <c r="C361" s="424" t="s">
        <v>312</v>
      </c>
      <c r="D361" s="491"/>
      <c r="E361" s="374"/>
      <c r="F361" s="499" t="s">
        <v>313</v>
      </c>
      <c r="G361" s="500" t="s">
        <v>267</v>
      </c>
    </row>
    <row r="362" spans="1:7">
      <c r="A362" s="410">
        <f t="shared" si="10"/>
        <v>646</v>
      </c>
      <c r="B362" s="424" t="s">
        <v>163</v>
      </c>
      <c r="C362" s="424" t="s">
        <v>314</v>
      </c>
      <c r="D362" s="491"/>
      <c r="E362" s="374"/>
      <c r="F362" s="499"/>
      <c r="G362" s="501"/>
    </row>
    <row r="363" spans="1:7">
      <c r="A363" s="410">
        <f t="shared" si="10"/>
        <v>647</v>
      </c>
      <c r="B363" s="424" t="s">
        <v>163</v>
      </c>
      <c r="C363" s="393" t="s">
        <v>315</v>
      </c>
      <c r="D363" s="491"/>
      <c r="E363" s="374"/>
      <c r="F363" s="499"/>
      <c r="G363" s="501"/>
    </row>
    <row r="364" spans="1:7">
      <c r="A364" s="410">
        <f t="shared" si="10"/>
        <v>648</v>
      </c>
      <c r="B364" s="424" t="s">
        <v>163</v>
      </c>
      <c r="C364" s="393" t="s">
        <v>316</v>
      </c>
      <c r="D364" s="491"/>
      <c r="E364" s="374"/>
      <c r="F364" s="499" t="s">
        <v>317</v>
      </c>
      <c r="G364" s="500" t="s">
        <v>260</v>
      </c>
    </row>
    <row r="365" spans="1:7">
      <c r="A365" s="410">
        <f t="shared" si="10"/>
        <v>649</v>
      </c>
      <c r="B365" s="424" t="s">
        <v>163</v>
      </c>
      <c r="C365" s="393" t="s">
        <v>318</v>
      </c>
      <c r="D365" s="491"/>
      <c r="E365" s="374"/>
      <c r="F365" s="499"/>
      <c r="G365" s="501"/>
    </row>
    <row r="366" spans="1:7">
      <c r="A366" s="410">
        <f t="shared" si="10"/>
        <v>650</v>
      </c>
      <c r="B366" s="424" t="s">
        <v>163</v>
      </c>
      <c r="C366" s="393" t="s">
        <v>319</v>
      </c>
      <c r="D366" s="491"/>
      <c r="E366" s="374"/>
      <c r="F366" s="499"/>
      <c r="G366" s="501"/>
    </row>
    <row r="367" spans="1:7">
      <c r="A367" s="384">
        <f t="shared" si="10"/>
        <v>651</v>
      </c>
      <c r="B367" s="388"/>
      <c r="C367" s="395" t="s">
        <v>321</v>
      </c>
      <c r="D367" s="425"/>
      <c r="E367" s="426"/>
      <c r="F367" s="395" t="s">
        <v>321</v>
      </c>
    </row>
    <row r="368" spans="1:7" ht="12.75" customHeight="1">
      <c r="A368" s="384">
        <f t="shared" si="10"/>
        <v>651</v>
      </c>
      <c r="B368" s="388" t="s">
        <v>163</v>
      </c>
      <c r="C368" s="388" t="s">
        <v>302</v>
      </c>
      <c r="D368" s="491" t="s">
        <v>174</v>
      </c>
      <c r="E368" s="374"/>
      <c r="F368" s="388" t="s">
        <v>302</v>
      </c>
      <c r="G368" s="491" t="s">
        <v>174</v>
      </c>
    </row>
    <row r="369" spans="1:7">
      <c r="A369" s="384">
        <f t="shared" si="10"/>
        <v>652</v>
      </c>
      <c r="B369" s="388" t="s">
        <v>163</v>
      </c>
      <c r="C369" s="388" t="s">
        <v>303</v>
      </c>
      <c r="D369" s="491"/>
      <c r="E369" s="374"/>
      <c r="F369" s="388" t="s">
        <v>303</v>
      </c>
      <c r="G369" s="491"/>
    </row>
    <row r="370" spans="1:7">
      <c r="A370" s="384">
        <f t="shared" ref="A370:A433" si="11">A369+B369</f>
        <v>653</v>
      </c>
      <c r="B370" s="388" t="s">
        <v>163</v>
      </c>
      <c r="C370" s="388" t="s">
        <v>304</v>
      </c>
      <c r="D370" s="491"/>
      <c r="E370" s="374"/>
      <c r="F370" s="388" t="s">
        <v>304</v>
      </c>
      <c r="G370" s="491"/>
    </row>
    <row r="371" spans="1:7">
      <c r="A371" s="384">
        <f t="shared" si="11"/>
        <v>654</v>
      </c>
      <c r="B371" s="388" t="s">
        <v>163</v>
      </c>
      <c r="C371" s="388" t="s">
        <v>305</v>
      </c>
      <c r="D371" s="491"/>
      <c r="E371" s="374"/>
      <c r="F371" s="388" t="s">
        <v>305</v>
      </c>
      <c r="G371" s="491"/>
    </row>
    <row r="372" spans="1:7">
      <c r="A372" s="384">
        <f t="shared" si="11"/>
        <v>655</v>
      </c>
      <c r="B372" s="388" t="s">
        <v>163</v>
      </c>
      <c r="C372" s="388" t="s">
        <v>306</v>
      </c>
      <c r="D372" s="491"/>
      <c r="E372" s="374"/>
      <c r="F372" s="388" t="s">
        <v>306</v>
      </c>
      <c r="G372" s="491"/>
    </row>
    <row r="373" spans="1:7">
      <c r="A373" s="384">
        <f t="shared" si="11"/>
        <v>656</v>
      </c>
      <c r="B373" s="388" t="s">
        <v>163</v>
      </c>
      <c r="C373" s="388" t="s">
        <v>307</v>
      </c>
      <c r="D373" s="491"/>
      <c r="E373" s="374"/>
      <c r="F373" s="424" t="s">
        <v>307</v>
      </c>
      <c r="G373" s="491"/>
    </row>
    <row r="374" spans="1:7" ht="24" customHeight="1">
      <c r="A374" s="403">
        <f t="shared" si="11"/>
        <v>657</v>
      </c>
      <c r="B374" s="404" t="s">
        <v>163</v>
      </c>
      <c r="C374" s="404" t="s">
        <v>308</v>
      </c>
      <c r="D374" s="491"/>
      <c r="E374" s="374"/>
      <c r="F374" s="498" t="s">
        <v>309</v>
      </c>
      <c r="G374" s="498" t="s">
        <v>288</v>
      </c>
    </row>
    <row r="375" spans="1:7" ht="25.95" customHeight="1">
      <c r="A375" s="403">
        <f t="shared" si="11"/>
        <v>658</v>
      </c>
      <c r="B375" s="404" t="s">
        <v>163</v>
      </c>
      <c r="C375" s="404" t="s">
        <v>310</v>
      </c>
      <c r="D375" s="491"/>
      <c r="E375" s="374"/>
      <c r="F375" s="498"/>
      <c r="G375" s="498"/>
    </row>
    <row r="376" spans="1:7" ht="25.95" customHeight="1">
      <c r="A376" s="403">
        <f t="shared" si="11"/>
        <v>659</v>
      </c>
      <c r="B376" s="404" t="s">
        <v>163</v>
      </c>
      <c r="C376" s="404" t="s">
        <v>311</v>
      </c>
      <c r="D376" s="491"/>
      <c r="E376" s="374"/>
      <c r="F376" s="498"/>
      <c r="G376" s="498"/>
    </row>
    <row r="377" spans="1:7">
      <c r="A377" s="410">
        <f t="shared" si="11"/>
        <v>660</v>
      </c>
      <c r="B377" s="424" t="s">
        <v>163</v>
      </c>
      <c r="C377" s="424" t="s">
        <v>312</v>
      </c>
      <c r="D377" s="491"/>
      <c r="E377" s="374"/>
      <c r="F377" s="499" t="s">
        <v>313</v>
      </c>
      <c r="G377" s="500" t="s">
        <v>267</v>
      </c>
    </row>
    <row r="378" spans="1:7">
      <c r="A378" s="410">
        <f t="shared" si="11"/>
        <v>661</v>
      </c>
      <c r="B378" s="424" t="s">
        <v>163</v>
      </c>
      <c r="C378" s="424" t="s">
        <v>314</v>
      </c>
      <c r="D378" s="491"/>
      <c r="E378" s="374"/>
      <c r="F378" s="499"/>
      <c r="G378" s="501"/>
    </row>
    <row r="379" spans="1:7">
      <c r="A379" s="410">
        <f t="shared" si="11"/>
        <v>662</v>
      </c>
      <c r="B379" s="424" t="s">
        <v>163</v>
      </c>
      <c r="C379" s="393" t="s">
        <v>315</v>
      </c>
      <c r="D379" s="491"/>
      <c r="E379" s="374"/>
      <c r="F379" s="499"/>
      <c r="G379" s="501"/>
    </row>
    <row r="380" spans="1:7">
      <c r="A380" s="410">
        <f t="shared" si="11"/>
        <v>663</v>
      </c>
      <c r="B380" s="424" t="s">
        <v>163</v>
      </c>
      <c r="C380" s="393" t="s">
        <v>316</v>
      </c>
      <c r="D380" s="491"/>
      <c r="E380" s="374"/>
      <c r="F380" s="499" t="s">
        <v>317</v>
      </c>
      <c r="G380" s="500" t="s">
        <v>260</v>
      </c>
    </row>
    <row r="381" spans="1:7">
      <c r="A381" s="410">
        <f t="shared" si="11"/>
        <v>664</v>
      </c>
      <c r="B381" s="424" t="s">
        <v>163</v>
      </c>
      <c r="C381" s="393" t="s">
        <v>318</v>
      </c>
      <c r="D381" s="491"/>
      <c r="E381" s="374"/>
      <c r="F381" s="499"/>
      <c r="G381" s="501"/>
    </row>
    <row r="382" spans="1:7">
      <c r="A382" s="410">
        <f t="shared" si="11"/>
        <v>665</v>
      </c>
      <c r="B382" s="424" t="s">
        <v>163</v>
      </c>
      <c r="C382" s="393" t="s">
        <v>319</v>
      </c>
      <c r="D382" s="491"/>
      <c r="E382" s="374"/>
      <c r="F382" s="499"/>
      <c r="G382" s="501"/>
    </row>
    <row r="383" spans="1:7">
      <c r="A383" s="384">
        <f t="shared" si="11"/>
        <v>666</v>
      </c>
      <c r="B383" s="388"/>
      <c r="C383" s="395" t="s">
        <v>322</v>
      </c>
      <c r="D383" s="425"/>
      <c r="E383" s="426"/>
      <c r="F383" s="395" t="s">
        <v>322</v>
      </c>
    </row>
    <row r="384" spans="1:7" ht="12.75" customHeight="1">
      <c r="A384" s="384">
        <f t="shared" si="11"/>
        <v>666</v>
      </c>
      <c r="B384" s="388" t="s">
        <v>163</v>
      </c>
      <c r="C384" s="388" t="s">
        <v>302</v>
      </c>
      <c r="D384" s="491" t="s">
        <v>174</v>
      </c>
      <c r="E384" s="374"/>
      <c r="F384" s="388" t="s">
        <v>302</v>
      </c>
      <c r="G384" s="491" t="s">
        <v>174</v>
      </c>
    </row>
    <row r="385" spans="1:7">
      <c r="A385" s="384">
        <f t="shared" si="11"/>
        <v>667</v>
      </c>
      <c r="B385" s="388" t="s">
        <v>163</v>
      </c>
      <c r="C385" s="388" t="s">
        <v>303</v>
      </c>
      <c r="D385" s="491"/>
      <c r="E385" s="374"/>
      <c r="F385" s="388" t="s">
        <v>303</v>
      </c>
      <c r="G385" s="491"/>
    </row>
    <row r="386" spans="1:7">
      <c r="A386" s="384">
        <f t="shared" si="11"/>
        <v>668</v>
      </c>
      <c r="B386" s="388" t="s">
        <v>163</v>
      </c>
      <c r="C386" s="388" t="s">
        <v>304</v>
      </c>
      <c r="D386" s="491"/>
      <c r="E386" s="374"/>
      <c r="F386" s="388" t="s">
        <v>304</v>
      </c>
      <c r="G386" s="491"/>
    </row>
    <row r="387" spans="1:7">
      <c r="A387" s="384">
        <f t="shared" si="11"/>
        <v>669</v>
      </c>
      <c r="B387" s="388" t="s">
        <v>163</v>
      </c>
      <c r="C387" s="388" t="s">
        <v>305</v>
      </c>
      <c r="D387" s="491"/>
      <c r="E387" s="374"/>
      <c r="F387" s="388" t="s">
        <v>305</v>
      </c>
      <c r="G387" s="491"/>
    </row>
    <row r="388" spans="1:7">
      <c r="A388" s="384">
        <f t="shared" si="11"/>
        <v>670</v>
      </c>
      <c r="B388" s="388" t="s">
        <v>163</v>
      </c>
      <c r="C388" s="388" t="s">
        <v>306</v>
      </c>
      <c r="D388" s="491"/>
      <c r="E388" s="374"/>
      <c r="F388" s="388" t="s">
        <v>306</v>
      </c>
      <c r="G388" s="491"/>
    </row>
    <row r="389" spans="1:7">
      <c r="A389" s="384">
        <f t="shared" si="11"/>
        <v>671</v>
      </c>
      <c r="B389" s="388" t="s">
        <v>163</v>
      </c>
      <c r="C389" s="388" t="s">
        <v>307</v>
      </c>
      <c r="D389" s="491"/>
      <c r="E389" s="374"/>
      <c r="F389" s="424" t="s">
        <v>307</v>
      </c>
      <c r="G389" s="491"/>
    </row>
    <row r="390" spans="1:7" ht="24" customHeight="1">
      <c r="A390" s="403">
        <f t="shared" si="11"/>
        <v>672</v>
      </c>
      <c r="B390" s="404" t="s">
        <v>163</v>
      </c>
      <c r="C390" s="404" t="s">
        <v>308</v>
      </c>
      <c r="D390" s="491"/>
      <c r="E390" s="374"/>
      <c r="F390" s="498" t="s">
        <v>309</v>
      </c>
      <c r="G390" s="498" t="s">
        <v>288</v>
      </c>
    </row>
    <row r="391" spans="1:7" ht="25.05" customHeight="1">
      <c r="A391" s="403">
        <f t="shared" si="11"/>
        <v>673</v>
      </c>
      <c r="B391" s="404" t="s">
        <v>163</v>
      </c>
      <c r="C391" s="404" t="s">
        <v>310</v>
      </c>
      <c r="D391" s="491"/>
      <c r="E391" s="374"/>
      <c r="F391" s="498"/>
      <c r="G391" s="498"/>
    </row>
    <row r="392" spans="1:7" ht="25.95" customHeight="1">
      <c r="A392" s="403">
        <f t="shared" si="11"/>
        <v>674</v>
      </c>
      <c r="B392" s="404" t="s">
        <v>163</v>
      </c>
      <c r="C392" s="404" t="s">
        <v>311</v>
      </c>
      <c r="D392" s="491"/>
      <c r="E392" s="374"/>
      <c r="F392" s="498"/>
      <c r="G392" s="498"/>
    </row>
    <row r="393" spans="1:7">
      <c r="A393" s="410">
        <f t="shared" si="11"/>
        <v>675</v>
      </c>
      <c r="B393" s="424" t="s">
        <v>163</v>
      </c>
      <c r="C393" s="424" t="s">
        <v>312</v>
      </c>
      <c r="D393" s="491"/>
      <c r="E393" s="374"/>
      <c r="F393" s="499" t="s">
        <v>313</v>
      </c>
      <c r="G393" s="500" t="s">
        <v>267</v>
      </c>
    </row>
    <row r="394" spans="1:7">
      <c r="A394" s="410">
        <f t="shared" si="11"/>
        <v>676</v>
      </c>
      <c r="B394" s="424" t="s">
        <v>163</v>
      </c>
      <c r="C394" s="424" t="s">
        <v>314</v>
      </c>
      <c r="D394" s="491"/>
      <c r="E394" s="374"/>
      <c r="F394" s="499"/>
      <c r="G394" s="501"/>
    </row>
    <row r="395" spans="1:7">
      <c r="A395" s="410">
        <f t="shared" si="11"/>
        <v>677</v>
      </c>
      <c r="B395" s="424" t="s">
        <v>163</v>
      </c>
      <c r="C395" s="393" t="s">
        <v>315</v>
      </c>
      <c r="D395" s="491"/>
      <c r="E395" s="374"/>
      <c r="F395" s="499"/>
      <c r="G395" s="501"/>
    </row>
    <row r="396" spans="1:7">
      <c r="A396" s="410">
        <f t="shared" si="11"/>
        <v>678</v>
      </c>
      <c r="B396" s="424" t="s">
        <v>163</v>
      </c>
      <c r="C396" s="393" t="s">
        <v>316</v>
      </c>
      <c r="D396" s="491"/>
      <c r="E396" s="374"/>
      <c r="F396" s="499" t="s">
        <v>317</v>
      </c>
      <c r="G396" s="500" t="s">
        <v>260</v>
      </c>
    </row>
    <row r="397" spans="1:7">
      <c r="A397" s="410">
        <f t="shared" si="11"/>
        <v>679</v>
      </c>
      <c r="B397" s="424" t="s">
        <v>163</v>
      </c>
      <c r="C397" s="393" t="s">
        <v>318</v>
      </c>
      <c r="D397" s="491"/>
      <c r="E397" s="374"/>
      <c r="F397" s="499"/>
      <c r="G397" s="501"/>
    </row>
    <row r="398" spans="1:7">
      <c r="A398" s="410">
        <f t="shared" si="11"/>
        <v>680</v>
      </c>
      <c r="B398" s="424" t="s">
        <v>163</v>
      </c>
      <c r="C398" s="393" t="s">
        <v>319</v>
      </c>
      <c r="D398" s="491"/>
      <c r="E398" s="374"/>
      <c r="F398" s="499"/>
      <c r="G398" s="501"/>
    </row>
    <row r="399" spans="1:7" ht="12" customHeight="1">
      <c r="A399" s="384">
        <f t="shared" si="11"/>
        <v>681</v>
      </c>
      <c r="B399" s="396"/>
      <c r="C399" s="395" t="s">
        <v>323</v>
      </c>
      <c r="D399" s="425"/>
      <c r="E399" s="426"/>
      <c r="F399" s="425"/>
    </row>
    <row r="400" spans="1:7" ht="24" customHeight="1">
      <c r="A400" s="403">
        <f t="shared" si="11"/>
        <v>681</v>
      </c>
      <c r="B400" s="404" t="s">
        <v>163</v>
      </c>
      <c r="C400" s="427" t="s">
        <v>324</v>
      </c>
      <c r="D400" s="491" t="s">
        <v>178</v>
      </c>
      <c r="E400" s="374"/>
      <c r="F400" s="498" t="s">
        <v>325</v>
      </c>
      <c r="G400" s="498" t="s">
        <v>288</v>
      </c>
    </row>
    <row r="401" spans="1:9" ht="25.05" customHeight="1">
      <c r="A401" s="403">
        <f t="shared" si="11"/>
        <v>682</v>
      </c>
      <c r="B401" s="404" t="s">
        <v>163</v>
      </c>
      <c r="C401" s="427" t="s">
        <v>326</v>
      </c>
      <c r="D401" s="491"/>
      <c r="E401" s="374"/>
      <c r="F401" s="498"/>
      <c r="G401" s="498"/>
    </row>
    <row r="402" spans="1:9" ht="27" customHeight="1">
      <c r="A402" s="403">
        <f t="shared" si="11"/>
        <v>683</v>
      </c>
      <c r="B402" s="404" t="s">
        <v>163</v>
      </c>
      <c r="C402" s="427" t="s">
        <v>327</v>
      </c>
      <c r="D402" s="491"/>
      <c r="E402" s="374"/>
      <c r="F402" s="498"/>
      <c r="G402" s="498"/>
    </row>
    <row r="403" spans="1:9" ht="12" customHeight="1">
      <c r="A403" s="410">
        <f t="shared" si="11"/>
        <v>684</v>
      </c>
      <c r="B403" s="388" t="s">
        <v>163</v>
      </c>
      <c r="C403" s="393" t="s">
        <v>328</v>
      </c>
      <c r="D403" s="491"/>
      <c r="E403" s="374"/>
      <c r="F403" s="499" t="s">
        <v>329</v>
      </c>
      <c r="G403" s="500" t="s">
        <v>267</v>
      </c>
    </row>
    <row r="404" spans="1:9" ht="19.95" customHeight="1">
      <c r="A404" s="410">
        <f t="shared" si="11"/>
        <v>685</v>
      </c>
      <c r="B404" s="388" t="s">
        <v>163</v>
      </c>
      <c r="C404" s="393" t="s">
        <v>330</v>
      </c>
      <c r="D404" s="491"/>
      <c r="E404" s="374"/>
      <c r="F404" s="499"/>
      <c r="G404" s="501"/>
    </row>
    <row r="405" spans="1:9" ht="25.95" customHeight="1">
      <c r="A405" s="410">
        <f t="shared" si="11"/>
        <v>686</v>
      </c>
      <c r="B405" s="388" t="s">
        <v>163</v>
      </c>
      <c r="C405" s="393" t="s">
        <v>331</v>
      </c>
      <c r="D405" s="491"/>
      <c r="E405" s="374"/>
      <c r="F405" s="499"/>
      <c r="G405" s="501"/>
    </row>
    <row r="406" spans="1:9" ht="22.05" customHeight="1">
      <c r="A406" s="410">
        <f t="shared" si="11"/>
        <v>687</v>
      </c>
      <c r="B406" s="388" t="s">
        <v>163</v>
      </c>
      <c r="C406" s="393" t="s">
        <v>332</v>
      </c>
      <c r="D406" s="491"/>
      <c r="E406" s="374"/>
      <c r="F406" s="499" t="s">
        <v>333</v>
      </c>
      <c r="G406" s="500" t="s">
        <v>260</v>
      </c>
    </row>
    <row r="407" spans="1:9" ht="18" customHeight="1">
      <c r="A407" s="410">
        <f t="shared" si="11"/>
        <v>688</v>
      </c>
      <c r="B407" s="388" t="s">
        <v>163</v>
      </c>
      <c r="C407" s="393" t="s">
        <v>334</v>
      </c>
      <c r="D407" s="491"/>
      <c r="E407" s="374"/>
      <c r="F407" s="499"/>
      <c r="G407" s="501"/>
    </row>
    <row r="408" spans="1:9" ht="12" customHeight="1">
      <c r="A408" s="410">
        <f t="shared" si="11"/>
        <v>689</v>
      </c>
      <c r="B408" s="388" t="s">
        <v>163</v>
      </c>
      <c r="C408" s="393" t="s">
        <v>335</v>
      </c>
      <c r="D408" s="491"/>
      <c r="E408" s="374"/>
      <c r="F408" s="499"/>
      <c r="G408" s="501"/>
    </row>
    <row r="409" spans="1:9" ht="124.05" customHeight="1">
      <c r="A409" s="403">
        <f t="shared" si="11"/>
        <v>690</v>
      </c>
      <c r="B409" s="404" t="s">
        <v>163</v>
      </c>
      <c r="C409" s="427" t="s">
        <v>336</v>
      </c>
      <c r="D409" s="491"/>
      <c r="E409" s="374"/>
      <c r="F409" s="423" t="s">
        <v>337</v>
      </c>
      <c r="G409" s="423" t="s">
        <v>338</v>
      </c>
      <c r="H409" s="330" t="s">
        <v>339</v>
      </c>
      <c r="I409" s="329" t="s">
        <v>167</v>
      </c>
    </row>
    <row r="410" spans="1:9" ht="12" customHeight="1">
      <c r="A410" s="384">
        <f t="shared" si="11"/>
        <v>691</v>
      </c>
      <c r="B410" s="396"/>
      <c r="C410" s="395" t="s">
        <v>340</v>
      </c>
      <c r="D410" s="425"/>
      <c r="E410" s="426"/>
      <c r="F410" s="425"/>
    </row>
    <row r="411" spans="1:9" ht="22.95" customHeight="1">
      <c r="A411" s="403">
        <f t="shared" si="11"/>
        <v>691</v>
      </c>
      <c r="B411" s="404" t="s">
        <v>163</v>
      </c>
      <c r="C411" s="427" t="s">
        <v>324</v>
      </c>
      <c r="D411" s="491" t="s">
        <v>178</v>
      </c>
      <c r="E411" s="374"/>
      <c r="F411" s="498" t="s">
        <v>325</v>
      </c>
      <c r="G411" s="498" t="s">
        <v>288</v>
      </c>
    </row>
    <row r="412" spans="1:9" ht="25.95" customHeight="1">
      <c r="A412" s="403">
        <f t="shared" si="11"/>
        <v>692</v>
      </c>
      <c r="B412" s="404" t="s">
        <v>163</v>
      </c>
      <c r="C412" s="427" t="s">
        <v>326</v>
      </c>
      <c r="D412" s="491"/>
      <c r="E412" s="374"/>
      <c r="F412" s="498"/>
      <c r="G412" s="498"/>
    </row>
    <row r="413" spans="1:9" ht="28.05" customHeight="1">
      <c r="A413" s="403">
        <f t="shared" si="11"/>
        <v>693</v>
      </c>
      <c r="B413" s="404" t="s">
        <v>163</v>
      </c>
      <c r="C413" s="427" t="s">
        <v>327</v>
      </c>
      <c r="D413" s="491"/>
      <c r="E413" s="374"/>
      <c r="F413" s="498"/>
      <c r="G413" s="498"/>
    </row>
    <row r="414" spans="1:9" ht="18" customHeight="1">
      <c r="A414" s="410">
        <f t="shared" si="11"/>
        <v>694</v>
      </c>
      <c r="B414" s="388" t="s">
        <v>163</v>
      </c>
      <c r="C414" s="393" t="s">
        <v>328</v>
      </c>
      <c r="D414" s="491"/>
      <c r="E414" s="374"/>
      <c r="F414" s="499" t="s">
        <v>329</v>
      </c>
      <c r="G414" s="500" t="s">
        <v>267</v>
      </c>
    </row>
    <row r="415" spans="1:9" ht="16.05" customHeight="1">
      <c r="A415" s="410">
        <f t="shared" si="11"/>
        <v>695</v>
      </c>
      <c r="B415" s="388" t="s">
        <v>163</v>
      </c>
      <c r="C415" s="393" t="s">
        <v>330</v>
      </c>
      <c r="D415" s="491"/>
      <c r="E415" s="374"/>
      <c r="F415" s="499"/>
      <c r="G415" s="501"/>
    </row>
    <row r="416" spans="1:9" ht="21" customHeight="1">
      <c r="A416" s="410">
        <f t="shared" si="11"/>
        <v>696</v>
      </c>
      <c r="B416" s="388" t="s">
        <v>163</v>
      </c>
      <c r="C416" s="393" t="s">
        <v>331</v>
      </c>
      <c r="D416" s="491"/>
      <c r="E416" s="374"/>
      <c r="F416" s="499"/>
      <c r="G416" s="501"/>
    </row>
    <row r="417" spans="1:7" ht="22.05" customHeight="1">
      <c r="A417" s="410">
        <f t="shared" si="11"/>
        <v>697</v>
      </c>
      <c r="B417" s="388" t="s">
        <v>163</v>
      </c>
      <c r="C417" s="393" t="s">
        <v>332</v>
      </c>
      <c r="D417" s="491"/>
      <c r="E417" s="374"/>
      <c r="F417" s="499" t="s">
        <v>333</v>
      </c>
      <c r="G417" s="500" t="s">
        <v>260</v>
      </c>
    </row>
    <row r="418" spans="1:7" ht="12" customHeight="1">
      <c r="A418" s="410">
        <f t="shared" si="11"/>
        <v>698</v>
      </c>
      <c r="B418" s="388" t="s">
        <v>163</v>
      </c>
      <c r="C418" s="393" t="s">
        <v>334</v>
      </c>
      <c r="D418" s="491"/>
      <c r="E418" s="374"/>
      <c r="F418" s="499"/>
      <c r="G418" s="501"/>
    </row>
    <row r="419" spans="1:7" ht="22.05" customHeight="1">
      <c r="A419" s="410">
        <f t="shared" si="11"/>
        <v>699</v>
      </c>
      <c r="B419" s="388" t="s">
        <v>163</v>
      </c>
      <c r="C419" s="393" t="s">
        <v>335</v>
      </c>
      <c r="D419" s="491"/>
      <c r="E419" s="374"/>
      <c r="F419" s="499"/>
      <c r="G419" s="501"/>
    </row>
    <row r="420" spans="1:7" ht="115.05" customHeight="1">
      <c r="A420" s="403">
        <f t="shared" si="11"/>
        <v>700</v>
      </c>
      <c r="B420" s="404" t="s">
        <v>163</v>
      </c>
      <c r="C420" s="427" t="s">
        <v>336</v>
      </c>
      <c r="D420" s="491"/>
      <c r="E420" s="374"/>
      <c r="F420" s="423" t="s">
        <v>341</v>
      </c>
      <c r="G420" s="423" t="s">
        <v>338</v>
      </c>
    </row>
    <row r="421" spans="1:7" ht="12" customHeight="1">
      <c r="A421" s="384">
        <f t="shared" si="11"/>
        <v>701</v>
      </c>
      <c r="B421" s="396"/>
      <c r="C421" s="395" t="s">
        <v>342</v>
      </c>
      <c r="D421" s="425"/>
      <c r="E421" s="426"/>
      <c r="F421" s="425"/>
    </row>
    <row r="422" spans="1:7" ht="27" customHeight="1">
      <c r="A422" s="403">
        <f t="shared" si="11"/>
        <v>701</v>
      </c>
      <c r="B422" s="404" t="s">
        <v>163</v>
      </c>
      <c r="C422" s="427" t="s">
        <v>324</v>
      </c>
      <c r="D422" s="491" t="s">
        <v>178</v>
      </c>
      <c r="E422" s="374"/>
      <c r="F422" s="498" t="s">
        <v>325</v>
      </c>
      <c r="G422" s="498" t="s">
        <v>288</v>
      </c>
    </row>
    <row r="423" spans="1:7" ht="22.95" customHeight="1">
      <c r="A423" s="403">
        <f t="shared" si="11"/>
        <v>702</v>
      </c>
      <c r="B423" s="404" t="s">
        <v>163</v>
      </c>
      <c r="C423" s="427" t="s">
        <v>326</v>
      </c>
      <c r="D423" s="491"/>
      <c r="E423" s="374"/>
      <c r="F423" s="498"/>
      <c r="G423" s="498"/>
    </row>
    <row r="424" spans="1:7" ht="24" customHeight="1">
      <c r="A424" s="403">
        <f t="shared" si="11"/>
        <v>703</v>
      </c>
      <c r="B424" s="404" t="s">
        <v>163</v>
      </c>
      <c r="C424" s="427" t="s">
        <v>327</v>
      </c>
      <c r="D424" s="491"/>
      <c r="E424" s="374"/>
      <c r="F424" s="498"/>
      <c r="G424" s="498"/>
    </row>
    <row r="425" spans="1:7" ht="16.95" customHeight="1">
      <c r="A425" s="410">
        <f t="shared" si="11"/>
        <v>704</v>
      </c>
      <c r="B425" s="388" t="s">
        <v>163</v>
      </c>
      <c r="C425" s="393" t="s">
        <v>328</v>
      </c>
      <c r="D425" s="491"/>
      <c r="E425" s="374"/>
      <c r="F425" s="499" t="s">
        <v>329</v>
      </c>
      <c r="G425" s="500" t="s">
        <v>267</v>
      </c>
    </row>
    <row r="426" spans="1:7" ht="18" customHeight="1">
      <c r="A426" s="410">
        <f t="shared" si="11"/>
        <v>705</v>
      </c>
      <c r="B426" s="388" t="s">
        <v>163</v>
      </c>
      <c r="C426" s="393" t="s">
        <v>330</v>
      </c>
      <c r="D426" s="491"/>
      <c r="E426" s="374"/>
      <c r="F426" s="499"/>
      <c r="G426" s="501"/>
    </row>
    <row r="427" spans="1:7" ht="19.05" customHeight="1">
      <c r="A427" s="410">
        <f t="shared" si="11"/>
        <v>706</v>
      </c>
      <c r="B427" s="388" t="s">
        <v>163</v>
      </c>
      <c r="C427" s="393" t="s">
        <v>331</v>
      </c>
      <c r="D427" s="491"/>
      <c r="E427" s="374"/>
      <c r="F427" s="499"/>
      <c r="G427" s="501"/>
    </row>
    <row r="428" spans="1:7" ht="22.05" customHeight="1">
      <c r="A428" s="410">
        <f t="shared" si="11"/>
        <v>707</v>
      </c>
      <c r="B428" s="388" t="s">
        <v>163</v>
      </c>
      <c r="C428" s="393" t="s">
        <v>332</v>
      </c>
      <c r="D428" s="491"/>
      <c r="E428" s="374"/>
      <c r="F428" s="499" t="s">
        <v>333</v>
      </c>
      <c r="G428" s="500" t="s">
        <v>260</v>
      </c>
    </row>
    <row r="429" spans="1:7" ht="19.05" customHeight="1">
      <c r="A429" s="410">
        <f t="shared" si="11"/>
        <v>708</v>
      </c>
      <c r="B429" s="388" t="s">
        <v>163</v>
      </c>
      <c r="C429" s="393" t="s">
        <v>334</v>
      </c>
      <c r="D429" s="491"/>
      <c r="E429" s="374"/>
      <c r="F429" s="499"/>
      <c r="G429" s="501"/>
    </row>
    <row r="430" spans="1:7" ht="12" customHeight="1">
      <c r="A430" s="410">
        <f t="shared" si="11"/>
        <v>709</v>
      </c>
      <c r="B430" s="388" t="s">
        <v>163</v>
      </c>
      <c r="C430" s="393" t="s">
        <v>335</v>
      </c>
      <c r="D430" s="491"/>
      <c r="E430" s="374"/>
      <c r="F430" s="499"/>
      <c r="G430" s="501"/>
    </row>
    <row r="431" spans="1:7" ht="109.95" customHeight="1">
      <c r="A431" s="403">
        <f t="shared" si="11"/>
        <v>710</v>
      </c>
      <c r="B431" s="404" t="s">
        <v>163</v>
      </c>
      <c r="C431" s="427" t="s">
        <v>336</v>
      </c>
      <c r="D431" s="491"/>
      <c r="E431" s="374"/>
      <c r="F431" s="423" t="s">
        <v>343</v>
      </c>
      <c r="G431" s="423" t="s">
        <v>338</v>
      </c>
    </row>
    <row r="432" spans="1:7" ht="12" customHeight="1">
      <c r="A432" s="384">
        <f t="shared" si="11"/>
        <v>711</v>
      </c>
      <c r="B432" s="396"/>
      <c r="C432" s="395" t="s">
        <v>344</v>
      </c>
      <c r="D432" s="425"/>
      <c r="E432" s="426"/>
      <c r="F432" s="425"/>
    </row>
    <row r="433" spans="1:30" ht="22.05" customHeight="1">
      <c r="A433" s="403">
        <f t="shared" si="11"/>
        <v>711</v>
      </c>
      <c r="B433" s="404" t="s">
        <v>163</v>
      </c>
      <c r="C433" s="427" t="s">
        <v>324</v>
      </c>
      <c r="D433" s="491" t="s">
        <v>178</v>
      </c>
      <c r="E433" s="374"/>
      <c r="F433" s="498" t="s">
        <v>325</v>
      </c>
      <c r="G433" s="498" t="s">
        <v>288</v>
      </c>
    </row>
    <row r="434" spans="1:30" ht="25.95" customHeight="1">
      <c r="A434" s="403">
        <f t="shared" ref="A434:A438" si="12">A433+B433</f>
        <v>712</v>
      </c>
      <c r="B434" s="404" t="s">
        <v>163</v>
      </c>
      <c r="C434" s="427" t="s">
        <v>326</v>
      </c>
      <c r="D434" s="491"/>
      <c r="E434" s="374"/>
      <c r="F434" s="498"/>
      <c r="G434" s="498"/>
    </row>
    <row r="435" spans="1:30" ht="28.05" customHeight="1">
      <c r="A435" s="403">
        <f t="shared" si="12"/>
        <v>713</v>
      </c>
      <c r="B435" s="404" t="s">
        <v>163</v>
      </c>
      <c r="C435" s="427" t="s">
        <v>327</v>
      </c>
      <c r="D435" s="491"/>
      <c r="E435" s="374"/>
      <c r="F435" s="498"/>
      <c r="G435" s="498"/>
    </row>
    <row r="436" spans="1:30" ht="12" customHeight="1">
      <c r="A436" s="410">
        <f t="shared" si="12"/>
        <v>714</v>
      </c>
      <c r="B436" s="388" t="s">
        <v>163</v>
      </c>
      <c r="C436" s="393" t="s">
        <v>328</v>
      </c>
      <c r="D436" s="491"/>
      <c r="E436" s="374"/>
      <c r="F436" s="499" t="s">
        <v>329</v>
      </c>
      <c r="G436" s="500" t="s">
        <v>267</v>
      </c>
    </row>
    <row r="437" spans="1:30" ht="22.95" customHeight="1">
      <c r="A437" s="410">
        <f t="shared" si="12"/>
        <v>715</v>
      </c>
      <c r="B437" s="388" t="s">
        <v>163</v>
      </c>
      <c r="C437" s="393" t="s">
        <v>330</v>
      </c>
      <c r="D437" s="491"/>
      <c r="E437" s="374"/>
      <c r="F437" s="499"/>
      <c r="G437" s="501"/>
    </row>
    <row r="438" spans="1:30" ht="18" customHeight="1">
      <c r="A438" s="410">
        <f t="shared" si="12"/>
        <v>716</v>
      </c>
      <c r="B438" s="388" t="s">
        <v>163</v>
      </c>
      <c r="C438" s="393" t="s">
        <v>331</v>
      </c>
      <c r="D438" s="491"/>
      <c r="E438" s="374"/>
      <c r="F438" s="499"/>
      <c r="G438" s="501"/>
    </row>
    <row r="439" spans="1:30" ht="25.95" customHeight="1">
      <c r="A439" s="410">
        <f t="shared" ref="A439:A460" si="13">A438+B438</f>
        <v>717</v>
      </c>
      <c r="B439" s="388" t="s">
        <v>163</v>
      </c>
      <c r="C439" s="393" t="s">
        <v>332</v>
      </c>
      <c r="D439" s="491"/>
      <c r="E439" s="374"/>
      <c r="F439" s="499" t="s">
        <v>333</v>
      </c>
      <c r="G439" s="500" t="s">
        <v>260</v>
      </c>
    </row>
    <row r="440" spans="1:30" ht="12" customHeight="1">
      <c r="A440" s="410">
        <f t="shared" si="13"/>
        <v>718</v>
      </c>
      <c r="B440" s="388" t="s">
        <v>163</v>
      </c>
      <c r="C440" s="393" t="s">
        <v>334</v>
      </c>
      <c r="D440" s="491"/>
      <c r="E440" s="374"/>
      <c r="F440" s="499"/>
      <c r="G440" s="501"/>
    </row>
    <row r="441" spans="1:30" ht="18" customHeight="1">
      <c r="A441" s="410">
        <f t="shared" si="13"/>
        <v>719</v>
      </c>
      <c r="B441" s="388" t="s">
        <v>163</v>
      </c>
      <c r="C441" s="393" t="s">
        <v>335</v>
      </c>
      <c r="D441" s="491"/>
      <c r="E441" s="374"/>
      <c r="F441" s="499"/>
      <c r="G441" s="501"/>
    </row>
    <row r="442" spans="1:30" ht="114" customHeight="1">
      <c r="A442" s="403">
        <f t="shared" si="13"/>
        <v>720</v>
      </c>
      <c r="B442" s="404" t="s">
        <v>163</v>
      </c>
      <c r="C442" s="427" t="s">
        <v>336</v>
      </c>
      <c r="D442" s="491"/>
      <c r="E442" s="374"/>
      <c r="F442" s="423" t="s">
        <v>345</v>
      </c>
      <c r="G442" s="423" t="s">
        <v>338</v>
      </c>
      <c r="H442" s="414"/>
      <c r="I442" s="414"/>
      <c r="J442" s="432"/>
      <c r="K442" s="432"/>
      <c r="L442" s="432"/>
      <c r="M442" s="432"/>
      <c r="N442" s="432"/>
      <c r="O442" s="432"/>
      <c r="P442" s="432"/>
      <c r="Q442" s="432"/>
      <c r="R442" s="432"/>
      <c r="S442" s="432"/>
      <c r="T442" s="432"/>
      <c r="U442" s="432"/>
      <c r="V442" s="432"/>
      <c r="W442" s="432"/>
      <c r="X442" s="432"/>
      <c r="Y442" s="432"/>
      <c r="Z442" s="432"/>
      <c r="AA442" s="432"/>
      <c r="AB442" s="432"/>
      <c r="AC442" s="432"/>
    </row>
    <row r="443" spans="1:30" s="364" customFormat="1" ht="100.8">
      <c r="A443" s="410">
        <f t="shared" si="13"/>
        <v>721</v>
      </c>
      <c r="B443" s="393">
        <v>1</v>
      </c>
      <c r="C443" s="428" t="s">
        <v>346</v>
      </c>
      <c r="D443" s="393" t="s">
        <v>347</v>
      </c>
      <c r="E443" s="429"/>
      <c r="F443" s="430" t="s">
        <v>348</v>
      </c>
      <c r="G443" s="308" t="s">
        <v>349</v>
      </c>
      <c r="H443" s="431"/>
      <c r="I443" s="431"/>
      <c r="J443" s="433"/>
      <c r="K443" s="433"/>
      <c r="L443" s="433"/>
      <c r="M443" s="433"/>
      <c r="N443" s="433"/>
      <c r="O443" s="433"/>
      <c r="P443" s="433"/>
      <c r="Q443" s="433"/>
      <c r="R443" s="433"/>
      <c r="S443" s="433"/>
      <c r="T443" s="433"/>
      <c r="U443" s="433"/>
      <c r="V443" s="433"/>
      <c r="W443" s="433"/>
      <c r="X443" s="433"/>
      <c r="Y443" s="433"/>
      <c r="Z443" s="433"/>
      <c r="AA443" s="433"/>
      <c r="AB443" s="433"/>
      <c r="AC443" s="433"/>
      <c r="AD443" s="434"/>
    </row>
    <row r="444" spans="1:30" s="365" customFormat="1" ht="100.8">
      <c r="A444" s="410">
        <f t="shared" si="13"/>
        <v>722</v>
      </c>
      <c r="B444" s="393">
        <v>1</v>
      </c>
      <c r="C444" s="428" t="s">
        <v>346</v>
      </c>
      <c r="D444" s="393" t="s">
        <v>347</v>
      </c>
      <c r="E444" s="429"/>
      <c r="F444" s="430" t="s">
        <v>350</v>
      </c>
      <c r="G444" s="308" t="s">
        <v>349</v>
      </c>
      <c r="H444" s="431"/>
      <c r="I444" s="431"/>
      <c r="J444" s="433"/>
      <c r="K444" s="433"/>
      <c r="L444" s="433"/>
      <c r="M444" s="433"/>
      <c r="N444" s="433"/>
      <c r="O444" s="433"/>
      <c r="P444" s="433"/>
      <c r="Q444" s="433"/>
      <c r="R444" s="433"/>
      <c r="S444" s="433"/>
      <c r="T444" s="433"/>
      <c r="U444" s="433"/>
      <c r="V444" s="433"/>
      <c r="W444" s="433"/>
      <c r="X444" s="433"/>
      <c r="Y444" s="433"/>
      <c r="Z444" s="433"/>
      <c r="AA444" s="433"/>
      <c r="AB444" s="433"/>
      <c r="AC444" s="433"/>
    </row>
    <row r="445" spans="1:30" s="365" customFormat="1" ht="100.8">
      <c r="A445" s="410">
        <f t="shared" si="13"/>
        <v>723</v>
      </c>
      <c r="B445" s="393">
        <v>1</v>
      </c>
      <c r="C445" s="428" t="s">
        <v>346</v>
      </c>
      <c r="D445" s="393" t="s">
        <v>347</v>
      </c>
      <c r="E445" s="429"/>
      <c r="F445" s="430" t="s">
        <v>351</v>
      </c>
      <c r="G445" s="308" t="s">
        <v>349</v>
      </c>
      <c r="H445" s="431"/>
      <c r="I445" s="431"/>
      <c r="J445" s="433"/>
      <c r="K445" s="433"/>
      <c r="L445" s="433"/>
      <c r="M445" s="433"/>
      <c r="N445" s="433"/>
      <c r="O445" s="433"/>
      <c r="P445" s="433"/>
      <c r="Q445" s="433"/>
      <c r="R445" s="433"/>
      <c r="S445" s="433"/>
      <c r="T445" s="433"/>
      <c r="U445" s="433"/>
      <c r="V445" s="433"/>
      <c r="W445" s="433"/>
      <c r="X445" s="433"/>
      <c r="Y445" s="433"/>
      <c r="Z445" s="433"/>
      <c r="AA445" s="433"/>
      <c r="AB445" s="433"/>
      <c r="AC445" s="433"/>
    </row>
    <row r="446" spans="1:30" s="365" customFormat="1" ht="100.8">
      <c r="A446" s="410">
        <f t="shared" si="13"/>
        <v>724</v>
      </c>
      <c r="B446" s="393">
        <v>1</v>
      </c>
      <c r="C446" s="428" t="s">
        <v>346</v>
      </c>
      <c r="D446" s="393" t="s">
        <v>347</v>
      </c>
      <c r="E446" s="429"/>
      <c r="F446" s="430" t="s">
        <v>352</v>
      </c>
      <c r="G446" s="308" t="s">
        <v>349</v>
      </c>
      <c r="H446" s="431"/>
      <c r="I446" s="431"/>
      <c r="J446" s="433"/>
      <c r="K446" s="433"/>
      <c r="L446" s="433"/>
      <c r="M446" s="433"/>
      <c r="N446" s="433"/>
      <c r="O446" s="433"/>
      <c r="P446" s="433"/>
      <c r="Q446" s="433"/>
      <c r="R446" s="433"/>
      <c r="S446" s="433"/>
      <c r="T446" s="433"/>
      <c r="U446" s="433"/>
      <c r="V446" s="433"/>
      <c r="W446" s="433"/>
      <c r="X446" s="433"/>
      <c r="Y446" s="433"/>
      <c r="Z446" s="433"/>
      <c r="AA446" s="433"/>
      <c r="AB446" s="433"/>
      <c r="AC446" s="433"/>
    </row>
    <row r="447" spans="1:30" s="365" customFormat="1" ht="100.8">
      <c r="A447" s="410">
        <f t="shared" si="13"/>
        <v>725</v>
      </c>
      <c r="B447" s="393">
        <v>1</v>
      </c>
      <c r="C447" s="428" t="s">
        <v>346</v>
      </c>
      <c r="D447" s="393" t="s">
        <v>347</v>
      </c>
      <c r="E447" s="429"/>
      <c r="F447" s="430" t="s">
        <v>353</v>
      </c>
      <c r="G447" s="308" t="s">
        <v>349</v>
      </c>
      <c r="H447" s="431"/>
      <c r="I447" s="431"/>
      <c r="J447" s="433"/>
      <c r="K447" s="433"/>
      <c r="L447" s="433"/>
      <c r="M447" s="433"/>
      <c r="N447" s="433"/>
      <c r="O447" s="433"/>
      <c r="P447" s="433"/>
      <c r="Q447" s="433"/>
      <c r="R447" s="433"/>
      <c r="S447" s="433"/>
      <c r="T447" s="433"/>
      <c r="U447" s="433"/>
      <c r="V447" s="433"/>
      <c r="W447" s="433"/>
      <c r="X447" s="433"/>
      <c r="Y447" s="433"/>
      <c r="Z447" s="433"/>
      <c r="AA447" s="433"/>
      <c r="AB447" s="433"/>
      <c r="AC447" s="433"/>
    </row>
    <row r="448" spans="1:30" s="365" customFormat="1" ht="100.8">
      <c r="A448" s="410">
        <f t="shared" si="13"/>
        <v>726</v>
      </c>
      <c r="B448" s="393">
        <v>1</v>
      </c>
      <c r="C448" s="428" t="s">
        <v>346</v>
      </c>
      <c r="D448" s="393" t="s">
        <v>347</v>
      </c>
      <c r="E448" s="429"/>
      <c r="F448" s="430" t="s">
        <v>354</v>
      </c>
      <c r="G448" s="308" t="s">
        <v>349</v>
      </c>
      <c r="H448" s="431"/>
      <c r="I448" s="431"/>
      <c r="J448" s="433"/>
      <c r="K448" s="433"/>
      <c r="L448" s="433"/>
      <c r="M448" s="433"/>
      <c r="N448" s="433"/>
      <c r="O448" s="433"/>
      <c r="P448" s="433"/>
      <c r="Q448" s="433"/>
      <c r="R448" s="433"/>
      <c r="S448" s="433"/>
      <c r="T448" s="433"/>
      <c r="U448" s="433"/>
      <c r="V448" s="433"/>
      <c r="W448" s="433"/>
      <c r="X448" s="433"/>
      <c r="Y448" s="433"/>
      <c r="Z448" s="433"/>
      <c r="AA448" s="433"/>
      <c r="AB448" s="433"/>
      <c r="AC448" s="433"/>
    </row>
    <row r="449" spans="1:29" s="365" customFormat="1" ht="100.8">
      <c r="A449" s="410">
        <f t="shared" si="13"/>
        <v>727</v>
      </c>
      <c r="B449" s="393">
        <v>1</v>
      </c>
      <c r="C449" s="428" t="s">
        <v>346</v>
      </c>
      <c r="D449" s="393" t="s">
        <v>347</v>
      </c>
      <c r="E449" s="429"/>
      <c r="F449" s="430" t="s">
        <v>355</v>
      </c>
      <c r="G449" s="308" t="s">
        <v>349</v>
      </c>
      <c r="H449" s="431"/>
      <c r="I449" s="431"/>
      <c r="J449" s="433"/>
      <c r="K449" s="433"/>
      <c r="L449" s="433"/>
      <c r="M449" s="433"/>
      <c r="N449" s="433"/>
      <c r="O449" s="433"/>
      <c r="P449" s="433"/>
      <c r="Q449" s="433"/>
      <c r="R449" s="433"/>
      <c r="S449" s="433"/>
      <c r="T449" s="433"/>
      <c r="U449" s="433"/>
      <c r="V449" s="433"/>
      <c r="W449" s="433"/>
      <c r="X449" s="433"/>
      <c r="Y449" s="433"/>
      <c r="Z449" s="433"/>
      <c r="AA449" s="433"/>
      <c r="AB449" s="433"/>
      <c r="AC449" s="433"/>
    </row>
    <row r="450" spans="1:29" s="365" customFormat="1" ht="100.8">
      <c r="A450" s="410">
        <f t="shared" si="13"/>
        <v>728</v>
      </c>
      <c r="B450" s="393">
        <v>1</v>
      </c>
      <c r="C450" s="428" t="s">
        <v>346</v>
      </c>
      <c r="D450" s="393" t="s">
        <v>347</v>
      </c>
      <c r="E450" s="429"/>
      <c r="F450" s="430" t="s">
        <v>356</v>
      </c>
      <c r="G450" s="308" t="s">
        <v>349</v>
      </c>
      <c r="H450" s="431"/>
      <c r="I450" s="431"/>
      <c r="J450" s="433"/>
      <c r="K450" s="433"/>
      <c r="L450" s="433"/>
      <c r="M450" s="433"/>
      <c r="N450" s="433"/>
      <c r="O450" s="433"/>
      <c r="P450" s="433"/>
      <c r="Q450" s="433"/>
      <c r="R450" s="433"/>
      <c r="S450" s="433"/>
      <c r="T450" s="433"/>
      <c r="U450" s="433"/>
      <c r="V450" s="433"/>
      <c r="W450" s="433"/>
      <c r="X450" s="433"/>
      <c r="Y450" s="433"/>
      <c r="Z450" s="433"/>
      <c r="AA450" s="433"/>
      <c r="AB450" s="433"/>
      <c r="AC450" s="433"/>
    </row>
    <row r="451" spans="1:29" s="365" customFormat="1" ht="22.8">
      <c r="A451" s="435">
        <f t="shared" si="13"/>
        <v>729</v>
      </c>
      <c r="B451" s="393">
        <v>2</v>
      </c>
      <c r="C451" s="428" t="s">
        <v>346</v>
      </c>
      <c r="D451" s="393" t="s">
        <v>347</v>
      </c>
      <c r="E451" s="429"/>
      <c r="F451" s="430" t="s">
        <v>357</v>
      </c>
      <c r="G451" s="314" t="s">
        <v>358</v>
      </c>
      <c r="H451" s="431"/>
      <c r="I451" s="431"/>
      <c r="J451" s="433"/>
      <c r="K451" s="433"/>
      <c r="L451" s="433"/>
      <c r="M451" s="433"/>
      <c r="N451" s="433"/>
      <c r="O451" s="433"/>
      <c r="P451" s="433"/>
      <c r="Q451" s="433"/>
      <c r="R451" s="433"/>
      <c r="S451" s="433"/>
      <c r="T451" s="433"/>
      <c r="U451" s="433"/>
      <c r="V451" s="433"/>
      <c r="W451" s="433"/>
      <c r="X451" s="433"/>
      <c r="Y451" s="433"/>
      <c r="Z451" s="433"/>
      <c r="AA451" s="433"/>
      <c r="AB451" s="433"/>
      <c r="AC451" s="433"/>
    </row>
    <row r="452" spans="1:29" s="365" customFormat="1" ht="22.8">
      <c r="A452" s="435">
        <f t="shared" si="13"/>
        <v>731</v>
      </c>
      <c r="B452" s="393">
        <v>2</v>
      </c>
      <c r="C452" s="428" t="s">
        <v>346</v>
      </c>
      <c r="D452" s="393" t="s">
        <v>347</v>
      </c>
      <c r="E452" s="429"/>
      <c r="F452" s="430" t="s">
        <v>359</v>
      </c>
      <c r="G452" s="314" t="s">
        <v>358</v>
      </c>
      <c r="H452" s="431"/>
      <c r="I452" s="431"/>
      <c r="J452" s="433"/>
      <c r="K452" s="433"/>
      <c r="L452" s="433"/>
      <c r="M452" s="433"/>
      <c r="N452" s="433"/>
      <c r="O452" s="433"/>
      <c r="P452" s="433"/>
      <c r="Q452" s="433"/>
      <c r="R452" s="433"/>
      <c r="S452" s="433"/>
      <c r="T452" s="433"/>
      <c r="U452" s="433"/>
      <c r="V452" s="433"/>
      <c r="W452" s="433"/>
      <c r="X452" s="433"/>
      <c r="Y452" s="433"/>
      <c r="Z452" s="433"/>
      <c r="AA452" s="433"/>
      <c r="AB452" s="433"/>
      <c r="AC452" s="433"/>
    </row>
    <row r="453" spans="1:29" s="365" customFormat="1" ht="22.8">
      <c r="A453" s="435">
        <f t="shared" si="13"/>
        <v>733</v>
      </c>
      <c r="B453" s="393">
        <v>2</v>
      </c>
      <c r="C453" s="428" t="s">
        <v>346</v>
      </c>
      <c r="D453" s="393" t="s">
        <v>347</v>
      </c>
      <c r="E453" s="429"/>
      <c r="F453" s="430" t="s">
        <v>360</v>
      </c>
      <c r="G453" s="314" t="s">
        <v>358</v>
      </c>
      <c r="H453" s="431"/>
      <c r="I453" s="431"/>
      <c r="J453" s="433"/>
      <c r="K453" s="433"/>
      <c r="L453" s="433"/>
      <c r="M453" s="433"/>
      <c r="N453" s="433"/>
      <c r="O453" s="433"/>
      <c r="P453" s="433"/>
      <c r="Q453" s="433"/>
      <c r="R453" s="433"/>
      <c r="S453" s="433"/>
      <c r="T453" s="433"/>
      <c r="U453" s="433"/>
      <c r="V453" s="433"/>
      <c r="W453" s="433"/>
      <c r="X453" s="433"/>
      <c r="Y453" s="433"/>
      <c r="Z453" s="433"/>
      <c r="AA453" s="433"/>
      <c r="AB453" s="433"/>
      <c r="AC453" s="433"/>
    </row>
    <row r="454" spans="1:29" s="365" customFormat="1" ht="22.8">
      <c r="A454" s="435">
        <f t="shared" si="13"/>
        <v>735</v>
      </c>
      <c r="B454" s="393">
        <v>2</v>
      </c>
      <c r="C454" s="428" t="s">
        <v>346</v>
      </c>
      <c r="D454" s="393" t="s">
        <v>347</v>
      </c>
      <c r="E454" s="429"/>
      <c r="F454" s="430" t="s">
        <v>361</v>
      </c>
      <c r="G454" s="314" t="s">
        <v>358</v>
      </c>
      <c r="H454" s="431"/>
      <c r="I454" s="431"/>
      <c r="J454" s="433"/>
      <c r="K454" s="433"/>
      <c r="L454" s="433"/>
      <c r="M454" s="433"/>
      <c r="N454" s="433"/>
      <c r="O454" s="433"/>
      <c r="P454" s="433"/>
      <c r="Q454" s="433"/>
      <c r="R454" s="433"/>
      <c r="S454" s="433"/>
      <c r="T454" s="433"/>
      <c r="U454" s="433"/>
      <c r="V454" s="433"/>
      <c r="W454" s="433"/>
      <c r="X454" s="433"/>
      <c r="Y454" s="433"/>
      <c r="Z454" s="433"/>
      <c r="AA454" s="433"/>
      <c r="AB454" s="433"/>
      <c r="AC454" s="433"/>
    </row>
    <row r="455" spans="1:29" s="365" customFormat="1" ht="22.8">
      <c r="A455" s="435">
        <f t="shared" si="13"/>
        <v>737</v>
      </c>
      <c r="B455" s="393">
        <v>2</v>
      </c>
      <c r="C455" s="428" t="s">
        <v>346</v>
      </c>
      <c r="D455" s="393" t="s">
        <v>347</v>
      </c>
      <c r="E455" s="429"/>
      <c r="F455" s="430" t="s">
        <v>362</v>
      </c>
      <c r="G455" s="314" t="s">
        <v>358</v>
      </c>
      <c r="H455" s="431"/>
      <c r="I455" s="431"/>
      <c r="J455" s="433"/>
      <c r="K455" s="433"/>
      <c r="L455" s="433"/>
      <c r="M455" s="433"/>
      <c r="N455" s="433"/>
      <c r="O455" s="433"/>
      <c r="P455" s="433"/>
      <c r="Q455" s="433"/>
      <c r="R455" s="433"/>
      <c r="S455" s="433"/>
      <c r="T455" s="433"/>
      <c r="U455" s="433"/>
      <c r="V455" s="433"/>
      <c r="W455" s="433"/>
      <c r="X455" s="433"/>
      <c r="Y455" s="433"/>
      <c r="Z455" s="433"/>
      <c r="AA455" s="433"/>
      <c r="AB455" s="433"/>
      <c r="AC455" s="433"/>
    </row>
    <row r="456" spans="1:29" s="365" customFormat="1" ht="22.8">
      <c r="A456" s="435">
        <f t="shared" si="13"/>
        <v>739</v>
      </c>
      <c r="B456" s="393">
        <v>2</v>
      </c>
      <c r="C456" s="428" t="s">
        <v>346</v>
      </c>
      <c r="D456" s="393" t="s">
        <v>347</v>
      </c>
      <c r="E456" s="429"/>
      <c r="F456" s="430" t="s">
        <v>363</v>
      </c>
      <c r="G456" s="314" t="s">
        <v>358</v>
      </c>
      <c r="H456" s="431"/>
      <c r="I456" s="431"/>
      <c r="J456" s="433"/>
      <c r="K456" s="433"/>
      <c r="L456" s="433"/>
      <c r="M456" s="433"/>
      <c r="N456" s="433"/>
      <c r="O456" s="433"/>
      <c r="P456" s="433"/>
      <c r="Q456" s="433"/>
      <c r="R456" s="433"/>
      <c r="S456" s="433"/>
      <c r="T456" s="433"/>
      <c r="U456" s="433"/>
      <c r="V456" s="433"/>
      <c r="W456" s="433"/>
      <c r="X456" s="433"/>
      <c r="Y456" s="433"/>
      <c r="Z456" s="433"/>
      <c r="AA456" s="433"/>
      <c r="AB456" s="433"/>
      <c r="AC456" s="433"/>
    </row>
    <row r="457" spans="1:29" s="365" customFormat="1" ht="22.8">
      <c r="A457" s="435">
        <f t="shared" si="13"/>
        <v>741</v>
      </c>
      <c r="B457" s="393">
        <v>2</v>
      </c>
      <c r="C457" s="428" t="s">
        <v>346</v>
      </c>
      <c r="D457" s="393" t="s">
        <v>347</v>
      </c>
      <c r="E457" s="429"/>
      <c r="F457" s="430" t="s">
        <v>364</v>
      </c>
      <c r="G457" s="314" t="s">
        <v>358</v>
      </c>
      <c r="H457" s="431"/>
      <c r="I457" s="431"/>
      <c r="J457" s="433"/>
      <c r="K457" s="433"/>
      <c r="L457" s="433"/>
      <c r="M457" s="433"/>
      <c r="N457" s="433"/>
      <c r="O457" s="433"/>
      <c r="P457" s="433"/>
      <c r="Q457" s="433"/>
      <c r="R457" s="433"/>
      <c r="S457" s="433"/>
      <c r="T457" s="433"/>
      <c r="U457" s="433"/>
      <c r="V457" s="433"/>
      <c r="W457" s="433"/>
      <c r="X457" s="433"/>
      <c r="Y457" s="433"/>
      <c r="Z457" s="433"/>
      <c r="AA457" s="433"/>
      <c r="AB457" s="433"/>
      <c r="AC457" s="433"/>
    </row>
    <row r="458" spans="1:29" s="365" customFormat="1" ht="22.8">
      <c r="A458" s="435">
        <f t="shared" si="13"/>
        <v>743</v>
      </c>
      <c r="B458" s="393">
        <v>2</v>
      </c>
      <c r="C458" s="428" t="s">
        <v>346</v>
      </c>
      <c r="D458" s="393" t="s">
        <v>347</v>
      </c>
      <c r="E458" s="429"/>
      <c r="F458" s="430" t="s">
        <v>365</v>
      </c>
      <c r="G458" s="314" t="s">
        <v>358</v>
      </c>
      <c r="H458" s="431"/>
      <c r="I458" s="431"/>
      <c r="J458" s="433"/>
      <c r="K458" s="433"/>
      <c r="L458" s="433"/>
      <c r="M458" s="433"/>
      <c r="N458" s="433"/>
      <c r="O458" s="433"/>
      <c r="P458" s="433"/>
      <c r="Q458" s="433"/>
      <c r="R458" s="433"/>
      <c r="S458" s="433"/>
      <c r="T458" s="433"/>
      <c r="U458" s="433"/>
      <c r="V458" s="433"/>
      <c r="W458" s="433"/>
      <c r="X458" s="433"/>
      <c r="Y458" s="433"/>
      <c r="Z458" s="433"/>
      <c r="AA458" s="433"/>
      <c r="AB458" s="433"/>
      <c r="AC458" s="433"/>
    </row>
    <row r="459" spans="1:29" s="365" customFormat="1">
      <c r="A459" s="435">
        <f t="shared" si="13"/>
        <v>745</v>
      </c>
      <c r="B459" s="393">
        <v>6</v>
      </c>
      <c r="C459" s="428" t="s">
        <v>346</v>
      </c>
      <c r="D459" s="393" t="s">
        <v>347</v>
      </c>
      <c r="E459" s="429"/>
      <c r="F459" s="428" t="s">
        <v>346</v>
      </c>
      <c r="G459" s="393" t="s">
        <v>347</v>
      </c>
      <c r="H459" s="431"/>
      <c r="I459" s="431"/>
      <c r="J459" s="433"/>
      <c r="K459" s="433"/>
      <c r="L459" s="433"/>
      <c r="M459" s="433"/>
      <c r="N459" s="433"/>
      <c r="O459" s="433"/>
      <c r="P459" s="433"/>
      <c r="Q459" s="433"/>
      <c r="R459" s="433"/>
      <c r="S459" s="433"/>
      <c r="T459" s="433"/>
      <c r="U459" s="433"/>
      <c r="V459" s="433"/>
      <c r="W459" s="433"/>
      <c r="X459" s="433"/>
      <c r="Y459" s="433"/>
      <c r="Z459" s="433"/>
      <c r="AA459" s="433"/>
      <c r="AB459" s="433"/>
      <c r="AC459" s="433"/>
    </row>
    <row r="460" spans="1:29">
      <c r="A460" s="385">
        <f t="shared" si="13"/>
        <v>751</v>
      </c>
      <c r="B460" s="388"/>
      <c r="C460" s="395" t="s">
        <v>366</v>
      </c>
      <c r="E460" s="374"/>
      <c r="F460" s="395" t="s">
        <v>366</v>
      </c>
      <c r="G460" s="367"/>
      <c r="H460" s="415"/>
      <c r="I460" s="415"/>
      <c r="J460" s="448"/>
      <c r="K460" s="448"/>
      <c r="L460" s="448"/>
      <c r="M460" s="448"/>
      <c r="N460" s="448"/>
      <c r="O460" s="448"/>
      <c r="P460" s="448"/>
      <c r="Q460" s="448"/>
      <c r="R460" s="448"/>
      <c r="S460" s="448"/>
      <c r="T460" s="448"/>
      <c r="U460" s="448"/>
      <c r="V460" s="448"/>
      <c r="W460" s="448"/>
      <c r="X460" s="448"/>
      <c r="Y460" s="448"/>
      <c r="Z460" s="448"/>
      <c r="AA460" s="448"/>
      <c r="AB460" s="448"/>
      <c r="AC460" s="448"/>
    </row>
    <row r="461" spans="1:29" ht="57">
      <c r="A461" s="384">
        <f t="shared" ref="A461:A513" si="14">A460+B460</f>
        <v>751</v>
      </c>
      <c r="B461" s="384" t="s">
        <v>163</v>
      </c>
      <c r="C461" s="384" t="s">
        <v>367</v>
      </c>
      <c r="D461" s="436" t="s">
        <v>368</v>
      </c>
      <c r="E461" s="437"/>
      <c r="F461" s="384" t="s">
        <v>367</v>
      </c>
      <c r="G461" s="436" t="s">
        <v>368</v>
      </c>
      <c r="H461" s="438"/>
    </row>
    <row r="462" spans="1:29" ht="34.200000000000003">
      <c r="A462" s="384">
        <f t="shared" si="14"/>
        <v>752</v>
      </c>
      <c r="B462" s="384" t="s">
        <v>163</v>
      </c>
      <c r="C462" s="384" t="s">
        <v>369</v>
      </c>
      <c r="D462" s="367" t="s">
        <v>144</v>
      </c>
      <c r="E462" s="374"/>
      <c r="F462" s="384" t="s">
        <v>369</v>
      </c>
      <c r="G462" s="367" t="s">
        <v>144</v>
      </c>
      <c r="H462" s="438"/>
    </row>
    <row r="463" spans="1:29" ht="34.200000000000003">
      <c r="A463" s="384">
        <f t="shared" si="14"/>
        <v>753</v>
      </c>
      <c r="B463" s="384" t="s">
        <v>145</v>
      </c>
      <c r="C463" s="384" t="s">
        <v>370</v>
      </c>
      <c r="D463" s="367" t="s">
        <v>371</v>
      </c>
      <c r="E463" s="374"/>
      <c r="F463" s="384" t="s">
        <v>370</v>
      </c>
      <c r="G463" s="367" t="s">
        <v>371</v>
      </c>
      <c r="H463" s="439" t="s">
        <v>372</v>
      </c>
      <c r="I463" s="329" t="s">
        <v>167</v>
      </c>
    </row>
    <row r="464" spans="1:29" ht="34.200000000000003">
      <c r="A464" s="384">
        <f t="shared" si="14"/>
        <v>755</v>
      </c>
      <c r="B464" s="388" t="s">
        <v>145</v>
      </c>
      <c r="C464" s="384" t="s">
        <v>373</v>
      </c>
      <c r="D464" s="367" t="s">
        <v>374</v>
      </c>
      <c r="E464" s="374"/>
      <c r="F464" s="384" t="s">
        <v>373</v>
      </c>
      <c r="G464" s="367" t="s">
        <v>374</v>
      </c>
      <c r="H464" s="438"/>
    </row>
    <row r="465" spans="1:9" ht="114">
      <c r="A465" s="384">
        <f t="shared" si="14"/>
        <v>757</v>
      </c>
      <c r="B465" s="384" t="s">
        <v>148</v>
      </c>
      <c r="C465" s="384" t="s">
        <v>375</v>
      </c>
      <c r="D465" s="367" t="s">
        <v>376</v>
      </c>
      <c r="E465" s="374"/>
      <c r="F465" s="384" t="s">
        <v>375</v>
      </c>
      <c r="G465" s="367" t="s">
        <v>376</v>
      </c>
      <c r="H465" s="438"/>
    </row>
    <row r="466" spans="1:9" ht="134.25" customHeight="1">
      <c r="A466" s="384">
        <f t="shared" si="14"/>
        <v>760</v>
      </c>
      <c r="B466" s="384" t="s">
        <v>151</v>
      </c>
      <c r="C466" s="384" t="s">
        <v>377</v>
      </c>
      <c r="D466" s="421" t="s">
        <v>378</v>
      </c>
      <c r="E466" s="422"/>
      <c r="F466" s="384" t="s">
        <v>377</v>
      </c>
      <c r="G466" s="421" t="s">
        <v>378</v>
      </c>
      <c r="H466" s="438"/>
    </row>
    <row r="467" spans="1:9" ht="125.4">
      <c r="A467" s="384">
        <f t="shared" si="14"/>
        <v>764</v>
      </c>
      <c r="B467" s="384" t="s">
        <v>151</v>
      </c>
      <c r="C467" s="384" t="s">
        <v>379</v>
      </c>
      <c r="D467" s="421" t="s">
        <v>277</v>
      </c>
      <c r="E467" s="422"/>
      <c r="F467" s="384" t="s">
        <v>379</v>
      </c>
      <c r="G467" s="421" t="s">
        <v>277</v>
      </c>
      <c r="H467" s="438"/>
    </row>
    <row r="468" spans="1:9" ht="333" customHeight="1">
      <c r="A468" s="384">
        <f t="shared" si="14"/>
        <v>768</v>
      </c>
      <c r="B468" s="384" t="s">
        <v>163</v>
      </c>
      <c r="C468" s="384" t="s">
        <v>380</v>
      </c>
      <c r="D468" s="440" t="s">
        <v>381</v>
      </c>
      <c r="E468" s="437"/>
      <c r="F468" s="384" t="s">
        <v>380</v>
      </c>
      <c r="G468" s="440" t="s">
        <v>381</v>
      </c>
      <c r="H468" s="438" t="s">
        <v>382</v>
      </c>
      <c r="I468" s="329" t="s">
        <v>167</v>
      </c>
    </row>
    <row r="469" spans="1:9" ht="114">
      <c r="A469" s="384">
        <f t="shared" si="14"/>
        <v>769</v>
      </c>
      <c r="B469" s="384" t="s">
        <v>163</v>
      </c>
      <c r="C469" s="384" t="s">
        <v>383</v>
      </c>
      <c r="D469" s="440" t="s">
        <v>384</v>
      </c>
      <c r="E469" s="437"/>
      <c r="F469" s="384" t="s">
        <v>383</v>
      </c>
      <c r="G469" s="440" t="s">
        <v>385</v>
      </c>
      <c r="H469" s="438"/>
    </row>
    <row r="470" spans="1:9" ht="25.05" customHeight="1">
      <c r="A470" s="384">
        <f t="shared" si="14"/>
        <v>770</v>
      </c>
      <c r="B470" s="384" t="s">
        <v>151</v>
      </c>
      <c r="C470" s="384" t="s">
        <v>386</v>
      </c>
      <c r="D470" s="496" t="s">
        <v>277</v>
      </c>
      <c r="E470" s="422"/>
      <c r="F470" s="384" t="s">
        <v>386</v>
      </c>
      <c r="G470" s="496" t="s">
        <v>277</v>
      </c>
      <c r="H470" s="438"/>
    </row>
    <row r="471" spans="1:9" ht="132.75" customHeight="1">
      <c r="A471" s="384">
        <f t="shared" si="14"/>
        <v>774</v>
      </c>
      <c r="B471" s="384" t="s">
        <v>151</v>
      </c>
      <c r="C471" s="384" t="s">
        <v>387</v>
      </c>
      <c r="D471" s="496"/>
      <c r="E471" s="422"/>
      <c r="F471" s="384" t="s">
        <v>387</v>
      </c>
      <c r="G471" s="496"/>
      <c r="H471" s="438"/>
    </row>
    <row r="472" spans="1:9" ht="34.200000000000003">
      <c r="A472" s="384">
        <f t="shared" si="14"/>
        <v>778</v>
      </c>
      <c r="B472" s="388" t="s">
        <v>163</v>
      </c>
      <c r="C472" s="388" t="s">
        <v>388</v>
      </c>
      <c r="D472" s="367" t="s">
        <v>174</v>
      </c>
      <c r="E472" s="374"/>
      <c r="F472" s="388" t="s">
        <v>388</v>
      </c>
      <c r="G472" s="367" t="s">
        <v>174</v>
      </c>
      <c r="H472" s="438"/>
    </row>
    <row r="473" spans="1:9" ht="12.75" customHeight="1">
      <c r="A473" s="384">
        <f t="shared" si="14"/>
        <v>779</v>
      </c>
      <c r="B473" s="441" t="s">
        <v>163</v>
      </c>
      <c r="C473" s="384" t="s">
        <v>389</v>
      </c>
      <c r="D473" s="491" t="s">
        <v>390</v>
      </c>
      <c r="E473" s="374"/>
      <c r="F473" s="384" t="s">
        <v>389</v>
      </c>
      <c r="G473" s="491" t="s">
        <v>390</v>
      </c>
      <c r="H473" s="438"/>
    </row>
    <row r="474" spans="1:9" ht="69.75" customHeight="1">
      <c r="A474" s="384">
        <f t="shared" si="14"/>
        <v>780</v>
      </c>
      <c r="B474" s="388" t="s">
        <v>163</v>
      </c>
      <c r="C474" s="384" t="s">
        <v>391</v>
      </c>
      <c r="D474" s="491"/>
      <c r="E474" s="374"/>
      <c r="F474" s="384" t="s">
        <v>391</v>
      </c>
      <c r="G474" s="491"/>
      <c r="H474" s="438"/>
    </row>
    <row r="475" spans="1:9" ht="34.200000000000003">
      <c r="A475" s="384">
        <f t="shared" si="14"/>
        <v>781</v>
      </c>
      <c r="B475" s="388" t="s">
        <v>145</v>
      </c>
      <c r="C475" s="384" t="s">
        <v>392</v>
      </c>
      <c r="D475" s="367" t="s">
        <v>393</v>
      </c>
      <c r="E475" s="374"/>
      <c r="F475" s="384" t="s">
        <v>392</v>
      </c>
      <c r="G475" s="367" t="s">
        <v>393</v>
      </c>
      <c r="H475" s="438"/>
    </row>
    <row r="476" spans="1:9" ht="34.200000000000003">
      <c r="A476" s="384">
        <f t="shared" si="14"/>
        <v>783</v>
      </c>
      <c r="B476" s="388" t="s">
        <v>163</v>
      </c>
      <c r="C476" s="388" t="s">
        <v>394</v>
      </c>
      <c r="D476" s="367" t="s">
        <v>144</v>
      </c>
      <c r="E476" s="374"/>
      <c r="F476" s="388" t="s">
        <v>394</v>
      </c>
      <c r="G476" s="367" t="s">
        <v>144</v>
      </c>
      <c r="H476" s="438"/>
    </row>
    <row r="477" spans="1:9" ht="79.8">
      <c r="A477" s="384">
        <f t="shared" si="14"/>
        <v>784</v>
      </c>
      <c r="B477" s="388" t="s">
        <v>163</v>
      </c>
      <c r="C477" s="388" t="s">
        <v>395</v>
      </c>
      <c r="D477" s="402" t="s">
        <v>396</v>
      </c>
      <c r="E477" s="374"/>
      <c r="F477" s="388" t="s">
        <v>395</v>
      </c>
      <c r="G477" s="402" t="s">
        <v>396</v>
      </c>
      <c r="H477" s="438"/>
    </row>
    <row r="478" spans="1:9" ht="34.200000000000003">
      <c r="A478" s="384">
        <f t="shared" si="14"/>
        <v>785</v>
      </c>
      <c r="B478" s="388" t="s">
        <v>163</v>
      </c>
      <c r="C478" s="388" t="s">
        <v>397</v>
      </c>
      <c r="D478" s="367" t="s">
        <v>144</v>
      </c>
      <c r="E478" s="374"/>
      <c r="F478" s="388" t="s">
        <v>397</v>
      </c>
      <c r="G478" s="367" t="s">
        <v>144</v>
      </c>
      <c r="H478" s="438"/>
    </row>
    <row r="479" spans="1:9" ht="125.4">
      <c r="A479" s="384">
        <f t="shared" si="14"/>
        <v>786</v>
      </c>
      <c r="B479" s="384">
        <v>5</v>
      </c>
      <c r="C479" s="384" t="s">
        <v>398</v>
      </c>
      <c r="D479" s="436" t="s">
        <v>399</v>
      </c>
      <c r="E479" s="437"/>
      <c r="F479" s="384" t="s">
        <v>398</v>
      </c>
      <c r="G479" s="436" t="s">
        <v>399</v>
      </c>
      <c r="H479" s="438"/>
    </row>
    <row r="480" spans="1:9" ht="136.80000000000001">
      <c r="A480" s="384">
        <f t="shared" si="14"/>
        <v>791</v>
      </c>
      <c r="B480" s="384">
        <v>4</v>
      </c>
      <c r="C480" s="388" t="s">
        <v>400</v>
      </c>
      <c r="D480" s="367" t="s">
        <v>401</v>
      </c>
      <c r="E480" s="374"/>
      <c r="F480" s="388" t="s">
        <v>400</v>
      </c>
      <c r="G480" s="367" t="s">
        <v>401</v>
      </c>
      <c r="H480" s="438"/>
    </row>
    <row r="481" spans="1:9" ht="82.5" customHeight="1">
      <c r="A481" s="384">
        <f t="shared" si="14"/>
        <v>795</v>
      </c>
      <c r="B481" s="388">
        <v>1</v>
      </c>
      <c r="C481" s="385" t="s">
        <v>402</v>
      </c>
      <c r="D481" s="442" t="s">
        <v>403</v>
      </c>
      <c r="E481" s="443"/>
      <c r="F481" s="385" t="s">
        <v>402</v>
      </c>
      <c r="G481" s="442" t="s">
        <v>403</v>
      </c>
      <c r="H481" s="438"/>
    </row>
    <row r="482" spans="1:9" ht="12.75" customHeight="1">
      <c r="A482" s="384">
        <f t="shared" si="14"/>
        <v>796</v>
      </c>
      <c r="B482" s="396">
        <v>1</v>
      </c>
      <c r="C482" s="393" t="s">
        <v>404</v>
      </c>
      <c r="D482" s="491" t="s">
        <v>144</v>
      </c>
      <c r="E482" s="374"/>
      <c r="F482" s="393" t="s">
        <v>404</v>
      </c>
      <c r="G482" s="491" t="s">
        <v>144</v>
      </c>
      <c r="H482" s="438"/>
    </row>
    <row r="483" spans="1:9" ht="25.5" customHeight="1">
      <c r="A483" s="384">
        <f t="shared" si="14"/>
        <v>797</v>
      </c>
      <c r="B483" s="396">
        <v>1</v>
      </c>
      <c r="C483" s="393" t="s">
        <v>405</v>
      </c>
      <c r="D483" s="491"/>
      <c r="E483" s="374"/>
      <c r="F483" s="393" t="s">
        <v>405</v>
      </c>
      <c r="G483" s="491"/>
      <c r="H483" s="438"/>
    </row>
    <row r="484" spans="1:9" ht="34.200000000000003">
      <c r="A484" s="384">
        <f t="shared" si="14"/>
        <v>798</v>
      </c>
      <c r="B484" s="396">
        <v>2</v>
      </c>
      <c r="C484" s="393" t="s">
        <v>406</v>
      </c>
      <c r="D484" s="367" t="s">
        <v>205</v>
      </c>
      <c r="E484" s="374"/>
      <c r="F484" s="393" t="s">
        <v>406</v>
      </c>
      <c r="G484" s="367" t="s">
        <v>205</v>
      </c>
      <c r="H484" s="438"/>
    </row>
    <row r="485" spans="1:9" s="364" customFormat="1" ht="34.200000000000003">
      <c r="A485" s="384">
        <f t="shared" si="14"/>
        <v>800</v>
      </c>
      <c r="B485" s="393">
        <v>1</v>
      </c>
      <c r="C485" s="393" t="s">
        <v>407</v>
      </c>
      <c r="D485" s="444" t="s">
        <v>408</v>
      </c>
      <c r="E485" s="445"/>
      <c r="F485" s="393" t="s">
        <v>407</v>
      </c>
      <c r="G485" s="444" t="s">
        <v>408</v>
      </c>
      <c r="H485" s="438"/>
      <c r="I485" s="333"/>
    </row>
    <row r="486" spans="1:9" s="364" customFormat="1" ht="34.200000000000003">
      <c r="A486" s="384">
        <f t="shared" si="14"/>
        <v>801</v>
      </c>
      <c r="B486" s="393">
        <v>1</v>
      </c>
      <c r="C486" s="393" t="s">
        <v>409</v>
      </c>
      <c r="D486" s="444" t="s">
        <v>408</v>
      </c>
      <c r="E486" s="445"/>
      <c r="F486" s="393" t="s">
        <v>409</v>
      </c>
      <c r="G486" s="444" t="s">
        <v>408</v>
      </c>
      <c r="H486" s="438"/>
      <c r="I486" s="333"/>
    </row>
    <row r="487" spans="1:9" s="364" customFormat="1" ht="34.200000000000003">
      <c r="A487" s="384">
        <f t="shared" si="14"/>
        <v>802</v>
      </c>
      <c r="B487" s="393">
        <v>1</v>
      </c>
      <c r="C487" s="393" t="s">
        <v>410</v>
      </c>
      <c r="D487" s="444" t="s">
        <v>408</v>
      </c>
      <c r="E487" s="445"/>
      <c r="F487" s="393" t="s">
        <v>410</v>
      </c>
      <c r="G487" s="444" t="s">
        <v>408</v>
      </c>
      <c r="H487" s="438"/>
      <c r="I487" s="333"/>
    </row>
    <row r="488" spans="1:9" s="364" customFormat="1" ht="34.200000000000003">
      <c r="A488" s="384">
        <f t="shared" si="14"/>
        <v>803</v>
      </c>
      <c r="B488" s="393">
        <v>1</v>
      </c>
      <c r="C488" s="393" t="s">
        <v>411</v>
      </c>
      <c r="D488" s="444" t="s">
        <v>408</v>
      </c>
      <c r="E488" s="445"/>
      <c r="F488" s="393" t="s">
        <v>411</v>
      </c>
      <c r="G488" s="444" t="s">
        <v>408</v>
      </c>
      <c r="H488" s="438"/>
      <c r="I488" s="333"/>
    </row>
    <row r="489" spans="1:9" s="364" customFormat="1" ht="34.200000000000003">
      <c r="A489" s="384">
        <f t="shared" si="14"/>
        <v>804</v>
      </c>
      <c r="B489" s="393">
        <v>4</v>
      </c>
      <c r="C489" s="393" t="s">
        <v>412</v>
      </c>
      <c r="D489" s="446" t="s">
        <v>413</v>
      </c>
      <c r="E489" s="447"/>
      <c r="F489" s="393" t="s">
        <v>412</v>
      </c>
      <c r="G489" s="446" t="s">
        <v>413</v>
      </c>
      <c r="H489" s="438"/>
      <c r="I489" s="333"/>
    </row>
    <row r="490" spans="1:9" s="364" customFormat="1" ht="34.200000000000003">
      <c r="A490" s="384">
        <f t="shared" si="14"/>
        <v>808</v>
      </c>
      <c r="B490" s="393">
        <v>4</v>
      </c>
      <c r="C490" s="393" t="s">
        <v>414</v>
      </c>
      <c r="D490" s="446" t="s">
        <v>413</v>
      </c>
      <c r="E490" s="447"/>
      <c r="F490" s="393" t="s">
        <v>414</v>
      </c>
      <c r="G490" s="446" t="s">
        <v>413</v>
      </c>
      <c r="H490" s="438"/>
      <c r="I490" s="333"/>
    </row>
    <row r="491" spans="1:9" s="364" customFormat="1" ht="34.200000000000003">
      <c r="A491" s="384">
        <f t="shared" si="14"/>
        <v>812</v>
      </c>
      <c r="B491" s="393">
        <v>1</v>
      </c>
      <c r="C491" s="393" t="s">
        <v>415</v>
      </c>
      <c r="D491" s="446" t="s">
        <v>416</v>
      </c>
      <c r="E491" s="447"/>
      <c r="F491" s="393" t="s">
        <v>415</v>
      </c>
      <c r="G491" s="446" t="s">
        <v>416</v>
      </c>
      <c r="H491" s="438"/>
      <c r="I491" s="333"/>
    </row>
    <row r="492" spans="1:9" s="364" customFormat="1" ht="34.200000000000003">
      <c r="A492" s="384">
        <f t="shared" si="14"/>
        <v>813</v>
      </c>
      <c r="B492" s="393">
        <v>1</v>
      </c>
      <c r="C492" s="393" t="s">
        <v>417</v>
      </c>
      <c r="D492" s="444" t="s">
        <v>408</v>
      </c>
      <c r="E492" s="445"/>
      <c r="F492" s="393" t="s">
        <v>417</v>
      </c>
      <c r="G492" s="444" t="s">
        <v>408</v>
      </c>
      <c r="H492" s="438"/>
      <c r="I492" s="333"/>
    </row>
    <row r="493" spans="1:9" s="364" customFormat="1" ht="34.200000000000003">
      <c r="A493" s="384">
        <f t="shared" si="14"/>
        <v>814</v>
      </c>
      <c r="B493" s="393">
        <v>1</v>
      </c>
      <c r="C493" s="393" t="s">
        <v>418</v>
      </c>
      <c r="D493" s="444" t="s">
        <v>408</v>
      </c>
      <c r="E493" s="445"/>
      <c r="F493" s="393" t="s">
        <v>418</v>
      </c>
      <c r="G493" s="444" t="s">
        <v>408</v>
      </c>
      <c r="H493" s="438"/>
      <c r="I493" s="333"/>
    </row>
    <row r="494" spans="1:9" s="364" customFormat="1">
      <c r="A494" s="384">
        <f t="shared" si="14"/>
        <v>815</v>
      </c>
      <c r="B494" s="393">
        <v>1</v>
      </c>
      <c r="C494" s="393" t="s">
        <v>419</v>
      </c>
      <c r="D494" s="393" t="s">
        <v>347</v>
      </c>
      <c r="E494" s="394"/>
      <c r="F494" s="393" t="s">
        <v>419</v>
      </c>
      <c r="G494" s="393" t="s">
        <v>347</v>
      </c>
      <c r="H494" s="438"/>
      <c r="I494" s="333"/>
    </row>
    <row r="495" spans="1:9">
      <c r="A495" s="384">
        <f t="shared" si="14"/>
        <v>816</v>
      </c>
      <c r="B495" s="384"/>
      <c r="C495" s="388"/>
      <c r="E495" s="374"/>
      <c r="F495" s="388"/>
      <c r="G495" s="367"/>
      <c r="H495" s="438"/>
    </row>
    <row r="496" spans="1:9" ht="12.75" customHeight="1">
      <c r="A496" s="384">
        <f t="shared" si="14"/>
        <v>816</v>
      </c>
      <c r="B496" s="388">
        <v>65</v>
      </c>
      <c r="C496" s="388" t="s">
        <v>420</v>
      </c>
      <c r="D496" s="491" t="s">
        <v>421</v>
      </c>
      <c r="E496" s="374"/>
      <c r="F496" s="388" t="s">
        <v>420</v>
      </c>
      <c r="G496" s="491" t="s">
        <v>421</v>
      </c>
      <c r="H496" s="438"/>
    </row>
    <row r="497" spans="1:8">
      <c r="A497" s="384">
        <f t="shared" si="14"/>
        <v>881</v>
      </c>
      <c r="B497" s="388">
        <v>65</v>
      </c>
      <c r="C497" s="388" t="s">
        <v>422</v>
      </c>
      <c r="D497" s="491"/>
      <c r="E497" s="374"/>
      <c r="F497" s="388" t="s">
        <v>422</v>
      </c>
      <c r="G497" s="491"/>
      <c r="H497" s="438"/>
    </row>
    <row r="498" spans="1:8">
      <c r="A498" s="384">
        <f t="shared" si="14"/>
        <v>946</v>
      </c>
      <c r="B498" s="388">
        <v>65</v>
      </c>
      <c r="C498" s="388" t="s">
        <v>423</v>
      </c>
      <c r="D498" s="491"/>
      <c r="E498" s="374"/>
      <c r="F498" s="388" t="s">
        <v>423</v>
      </c>
      <c r="G498" s="491"/>
      <c r="H498" s="438"/>
    </row>
    <row r="499" spans="1:8">
      <c r="A499" s="384">
        <f t="shared" si="14"/>
        <v>1011</v>
      </c>
      <c r="B499" s="388">
        <v>65</v>
      </c>
      <c r="C499" s="388" t="s">
        <v>424</v>
      </c>
      <c r="D499" s="491"/>
      <c r="E499" s="374"/>
      <c r="F499" s="388" t="s">
        <v>424</v>
      </c>
      <c r="G499" s="491"/>
      <c r="H499" s="438"/>
    </row>
    <row r="500" spans="1:8">
      <c r="A500" s="384">
        <f t="shared" si="14"/>
        <v>1076</v>
      </c>
      <c r="B500" s="388">
        <v>65</v>
      </c>
      <c r="C500" s="388" t="s">
        <v>425</v>
      </c>
      <c r="D500" s="491"/>
      <c r="E500" s="374"/>
      <c r="F500" s="388" t="s">
        <v>425</v>
      </c>
      <c r="G500" s="491"/>
      <c r="H500" s="438"/>
    </row>
    <row r="501" spans="1:8">
      <c r="A501" s="384">
        <f t="shared" si="14"/>
        <v>1141</v>
      </c>
      <c r="B501" s="388">
        <v>65</v>
      </c>
      <c r="C501" s="388" t="s">
        <v>426</v>
      </c>
      <c r="D501" s="491"/>
      <c r="E501" s="374"/>
      <c r="F501" s="388" t="s">
        <v>426</v>
      </c>
      <c r="G501" s="491"/>
      <c r="H501" s="438"/>
    </row>
    <row r="502" spans="1:8">
      <c r="A502" s="384">
        <f t="shared" si="14"/>
        <v>1206</v>
      </c>
      <c r="B502" s="388">
        <v>65</v>
      </c>
      <c r="C502" s="388" t="s">
        <v>427</v>
      </c>
      <c r="D502" s="491"/>
      <c r="E502" s="374"/>
      <c r="F502" s="388" t="s">
        <v>427</v>
      </c>
      <c r="G502" s="491"/>
      <c r="H502" s="438"/>
    </row>
    <row r="503" spans="1:8">
      <c r="A503" s="384">
        <f t="shared" si="14"/>
        <v>1271</v>
      </c>
      <c r="B503" s="388">
        <v>65</v>
      </c>
      <c r="C503" s="388" t="s">
        <v>428</v>
      </c>
      <c r="D503" s="491"/>
      <c r="E503" s="374"/>
      <c r="F503" s="388" t="s">
        <v>428</v>
      </c>
      <c r="G503" s="491"/>
      <c r="H503" s="438"/>
    </row>
    <row r="504" spans="1:8">
      <c r="A504" s="384">
        <f t="shared" si="14"/>
        <v>1336</v>
      </c>
      <c r="B504" s="388">
        <v>65</v>
      </c>
      <c r="C504" s="388" t="s">
        <v>429</v>
      </c>
      <c r="D504" s="491"/>
      <c r="E504" s="374"/>
      <c r="F504" s="388" t="s">
        <v>429</v>
      </c>
      <c r="G504" s="491"/>
      <c r="H504" s="438"/>
    </row>
    <row r="505" spans="1:8">
      <c r="A505" s="384">
        <f t="shared" si="14"/>
        <v>1401</v>
      </c>
      <c r="B505" s="388">
        <v>65</v>
      </c>
      <c r="C505" s="388" t="s">
        <v>430</v>
      </c>
      <c r="D505" s="491"/>
      <c r="E505" s="374"/>
      <c r="F505" s="388" t="s">
        <v>430</v>
      </c>
      <c r="G505" s="491"/>
      <c r="H505" s="438"/>
    </row>
    <row r="506" spans="1:8">
      <c r="A506" s="384">
        <f t="shared" si="14"/>
        <v>1466</v>
      </c>
      <c r="B506" s="388">
        <v>65</v>
      </c>
      <c r="C506" s="388" t="s">
        <v>431</v>
      </c>
      <c r="D506" s="491"/>
      <c r="E506" s="374"/>
      <c r="F506" s="388" t="s">
        <v>431</v>
      </c>
      <c r="G506" s="491"/>
      <c r="H506" s="438"/>
    </row>
    <row r="507" spans="1:8">
      <c r="A507" s="384">
        <f t="shared" si="14"/>
        <v>1531</v>
      </c>
      <c r="B507" s="388">
        <v>65</v>
      </c>
      <c r="C507" s="388" t="s">
        <v>432</v>
      </c>
      <c r="D507" s="491"/>
      <c r="E507" s="374"/>
      <c r="F507" s="388" t="s">
        <v>432</v>
      </c>
      <c r="G507" s="491"/>
      <c r="H507" s="438"/>
    </row>
    <row r="508" spans="1:8">
      <c r="A508" s="384">
        <f t="shared" si="14"/>
        <v>1596</v>
      </c>
      <c r="B508" s="388">
        <v>65</v>
      </c>
      <c r="C508" s="388" t="s">
        <v>433</v>
      </c>
      <c r="D508" s="491"/>
      <c r="E508" s="374"/>
      <c r="F508" s="388" t="s">
        <v>433</v>
      </c>
      <c r="G508" s="491"/>
      <c r="H508" s="438"/>
    </row>
    <row r="509" spans="1:8">
      <c r="A509" s="384">
        <f t="shared" si="14"/>
        <v>1661</v>
      </c>
      <c r="B509" s="388">
        <v>65</v>
      </c>
      <c r="C509" s="388" t="s">
        <v>434</v>
      </c>
      <c r="D509" s="491"/>
      <c r="E509" s="374"/>
      <c r="F509" s="388" t="s">
        <v>434</v>
      </c>
      <c r="G509" s="491"/>
      <c r="H509" s="438"/>
    </row>
    <row r="510" spans="1:8">
      <c r="A510" s="384">
        <f t="shared" si="14"/>
        <v>1726</v>
      </c>
      <c r="B510" s="388">
        <v>65</v>
      </c>
      <c r="C510" s="388" t="s">
        <v>435</v>
      </c>
      <c r="D510" s="491"/>
      <c r="E510" s="374"/>
      <c r="F510" s="388" t="s">
        <v>435</v>
      </c>
      <c r="G510" s="491"/>
      <c r="H510" s="438"/>
    </row>
    <row r="511" spans="1:8">
      <c r="A511" s="384">
        <f t="shared" si="14"/>
        <v>1791</v>
      </c>
      <c r="B511" s="388">
        <v>65</v>
      </c>
      <c r="C511" s="388" t="s">
        <v>436</v>
      </c>
      <c r="D511" s="491"/>
      <c r="E511" s="374"/>
      <c r="F511" s="388" t="s">
        <v>436</v>
      </c>
      <c r="G511" s="491"/>
      <c r="H511" s="438"/>
    </row>
    <row r="512" spans="1:8">
      <c r="A512" s="384">
        <f t="shared" si="14"/>
        <v>1856</v>
      </c>
      <c r="B512" s="388">
        <v>65</v>
      </c>
      <c r="C512" s="388" t="s">
        <v>437</v>
      </c>
      <c r="D512" s="491"/>
      <c r="E512" s="374"/>
      <c r="F512" s="388" t="s">
        <v>437</v>
      </c>
      <c r="G512" s="491"/>
      <c r="H512" s="438"/>
    </row>
    <row r="513" spans="1:9">
      <c r="A513" s="384">
        <f t="shared" si="14"/>
        <v>1921</v>
      </c>
      <c r="B513" s="388">
        <v>65</v>
      </c>
      <c r="C513" s="388" t="s">
        <v>438</v>
      </c>
      <c r="D513" s="491"/>
      <c r="E513" s="374"/>
      <c r="F513" s="388" t="s">
        <v>438</v>
      </c>
      <c r="G513" s="491"/>
      <c r="H513" s="438"/>
    </row>
    <row r="514" spans="1:9">
      <c r="A514" s="384">
        <f t="shared" ref="A514:A562" si="15">A513+B513</f>
        <v>1986</v>
      </c>
      <c r="B514" s="388">
        <v>65</v>
      </c>
      <c r="C514" s="388" t="s">
        <v>439</v>
      </c>
      <c r="D514" s="491"/>
      <c r="E514" s="374"/>
      <c r="F514" s="388" t="s">
        <v>439</v>
      </c>
      <c r="G514" s="491"/>
      <c r="H514" s="438"/>
    </row>
    <row r="515" spans="1:9" s="362" customFormat="1">
      <c r="A515" s="384">
        <f t="shared" si="15"/>
        <v>2051</v>
      </c>
      <c r="B515" s="388">
        <v>65</v>
      </c>
      <c r="C515" s="388" t="s">
        <v>440</v>
      </c>
      <c r="D515" s="491"/>
      <c r="E515" s="374"/>
      <c r="F515" s="388" t="s">
        <v>440</v>
      </c>
      <c r="G515" s="491"/>
      <c r="H515" s="438"/>
      <c r="I515" s="329"/>
    </row>
    <row r="516" spans="1:9">
      <c r="A516" s="384">
        <f t="shared" si="15"/>
        <v>2116</v>
      </c>
      <c r="B516" s="388">
        <v>65</v>
      </c>
      <c r="C516" s="388" t="s">
        <v>441</v>
      </c>
      <c r="D516" s="491"/>
      <c r="E516" s="374"/>
      <c r="F516" s="388" t="s">
        <v>441</v>
      </c>
      <c r="G516" s="491"/>
      <c r="H516" s="438"/>
    </row>
    <row r="517" spans="1:9">
      <c r="A517" s="384">
        <f t="shared" si="15"/>
        <v>2181</v>
      </c>
      <c r="B517" s="388">
        <v>65</v>
      </c>
      <c r="C517" s="388" t="s">
        <v>442</v>
      </c>
      <c r="D517" s="491"/>
      <c r="E517" s="374"/>
      <c r="F517" s="388" t="s">
        <v>442</v>
      </c>
      <c r="G517" s="491"/>
      <c r="H517" s="438"/>
    </row>
    <row r="518" spans="1:9">
      <c r="A518" s="384">
        <f t="shared" si="15"/>
        <v>2246</v>
      </c>
      <c r="B518" s="388">
        <v>65</v>
      </c>
      <c r="C518" s="388" t="s">
        <v>443</v>
      </c>
      <c r="D518" s="491"/>
      <c r="E518" s="374"/>
      <c r="F518" s="388" t="s">
        <v>443</v>
      </c>
      <c r="G518" s="491"/>
      <c r="H518" s="438"/>
    </row>
    <row r="519" spans="1:9">
      <c r="A519" s="384">
        <f t="shared" si="15"/>
        <v>2311</v>
      </c>
      <c r="B519" s="388">
        <v>65</v>
      </c>
      <c r="C519" s="388" t="s">
        <v>444</v>
      </c>
      <c r="D519" s="491"/>
      <c r="E519" s="374"/>
      <c r="F519" s="388" t="s">
        <v>444</v>
      </c>
      <c r="G519" s="491"/>
      <c r="H519" s="438"/>
    </row>
    <row r="520" spans="1:9">
      <c r="A520" s="384">
        <f t="shared" si="15"/>
        <v>2376</v>
      </c>
      <c r="B520" s="388">
        <v>65</v>
      </c>
      <c r="C520" s="388" t="s">
        <v>445</v>
      </c>
      <c r="D520" s="491"/>
      <c r="E520" s="374"/>
      <c r="F520" s="388" t="s">
        <v>445</v>
      </c>
      <c r="G520" s="491"/>
      <c r="H520" s="438"/>
    </row>
    <row r="521" spans="1:9">
      <c r="A521" s="384">
        <f t="shared" si="15"/>
        <v>2441</v>
      </c>
      <c r="B521" s="388">
        <v>65</v>
      </c>
      <c r="C521" s="388" t="s">
        <v>446</v>
      </c>
      <c r="D521" s="491"/>
      <c r="E521" s="374"/>
      <c r="F521" s="388" t="s">
        <v>446</v>
      </c>
      <c r="G521" s="491"/>
      <c r="H521" s="438"/>
    </row>
    <row r="522" spans="1:9">
      <c r="A522" s="384">
        <f t="shared" si="15"/>
        <v>2506</v>
      </c>
      <c r="B522" s="388">
        <v>65</v>
      </c>
      <c r="C522" s="388" t="s">
        <v>447</v>
      </c>
      <c r="D522" s="491"/>
      <c r="E522" s="374"/>
      <c r="F522" s="388" t="s">
        <v>447</v>
      </c>
      <c r="G522" s="491"/>
      <c r="H522" s="438"/>
    </row>
    <row r="523" spans="1:9">
      <c r="A523" s="384">
        <f t="shared" si="15"/>
        <v>2571</v>
      </c>
      <c r="B523" s="388">
        <v>65</v>
      </c>
      <c r="C523" s="388" t="s">
        <v>448</v>
      </c>
      <c r="D523" s="491"/>
      <c r="E523" s="374"/>
      <c r="F523" s="388" t="s">
        <v>448</v>
      </c>
      <c r="G523" s="491"/>
      <c r="H523" s="438"/>
    </row>
    <row r="524" spans="1:9">
      <c r="A524" s="384">
        <f t="shared" si="15"/>
        <v>2636</v>
      </c>
      <c r="B524" s="388">
        <v>65</v>
      </c>
      <c r="C524" s="388" t="s">
        <v>449</v>
      </c>
      <c r="D524" s="491"/>
      <c r="E524" s="374"/>
      <c r="F524" s="388" t="s">
        <v>449</v>
      </c>
      <c r="G524" s="491"/>
      <c r="H524" s="438"/>
    </row>
    <row r="525" spans="1:9">
      <c r="A525" s="384">
        <f t="shared" si="15"/>
        <v>2701</v>
      </c>
      <c r="B525" s="388">
        <v>65</v>
      </c>
      <c r="C525" s="388" t="s">
        <v>450</v>
      </c>
      <c r="D525" s="491"/>
      <c r="E525" s="374"/>
      <c r="F525" s="388" t="s">
        <v>450</v>
      </c>
      <c r="G525" s="491"/>
      <c r="H525" s="438"/>
    </row>
    <row r="526" spans="1:9">
      <c r="A526" s="384">
        <f t="shared" si="15"/>
        <v>2766</v>
      </c>
      <c r="B526" s="388">
        <v>65</v>
      </c>
      <c r="C526" s="388" t="s">
        <v>451</v>
      </c>
      <c r="D526" s="491"/>
      <c r="E526" s="374"/>
      <c r="F526" s="388" t="s">
        <v>451</v>
      </c>
      <c r="G526" s="491"/>
      <c r="H526" s="438"/>
    </row>
    <row r="527" spans="1:9">
      <c r="A527" s="384">
        <f t="shared" si="15"/>
        <v>2831</v>
      </c>
      <c r="B527" s="388">
        <v>65</v>
      </c>
      <c r="C527" s="388" t="s">
        <v>452</v>
      </c>
      <c r="D527" s="491"/>
      <c r="E527" s="374"/>
      <c r="F527" s="388" t="s">
        <v>452</v>
      </c>
      <c r="G527" s="491"/>
      <c r="H527" s="438"/>
    </row>
    <row r="528" spans="1:9">
      <c r="A528" s="384">
        <f t="shared" si="15"/>
        <v>2896</v>
      </c>
      <c r="B528" s="388">
        <v>65</v>
      </c>
      <c r="C528" s="388" t="s">
        <v>453</v>
      </c>
      <c r="D528" s="491"/>
      <c r="E528" s="374"/>
      <c r="F528" s="388" t="s">
        <v>453</v>
      </c>
      <c r="G528" s="491"/>
      <c r="H528" s="438"/>
    </row>
    <row r="529" spans="1:8">
      <c r="A529" s="384">
        <f t="shared" si="15"/>
        <v>2961</v>
      </c>
      <c r="B529" s="388">
        <v>65</v>
      </c>
      <c r="C529" s="388" t="s">
        <v>454</v>
      </c>
      <c r="D529" s="491"/>
      <c r="E529" s="374"/>
      <c r="F529" s="388" t="s">
        <v>454</v>
      </c>
      <c r="G529" s="491"/>
      <c r="H529" s="438"/>
    </row>
    <row r="530" spans="1:8">
      <c r="A530" s="384">
        <f t="shared" si="15"/>
        <v>3026</v>
      </c>
      <c r="B530" s="388">
        <v>65</v>
      </c>
      <c r="C530" s="388" t="s">
        <v>455</v>
      </c>
      <c r="D530" s="491"/>
      <c r="E530" s="374"/>
      <c r="F530" s="388" t="s">
        <v>455</v>
      </c>
      <c r="G530" s="491"/>
      <c r="H530" s="438"/>
    </row>
    <row r="531" spans="1:8">
      <c r="A531" s="384">
        <f t="shared" si="15"/>
        <v>3091</v>
      </c>
      <c r="B531" s="388">
        <v>65</v>
      </c>
      <c r="C531" s="388" t="s">
        <v>456</v>
      </c>
      <c r="D531" s="491"/>
      <c r="E531" s="374"/>
      <c r="F531" s="388" t="s">
        <v>456</v>
      </c>
      <c r="G531" s="491"/>
      <c r="H531" s="438"/>
    </row>
    <row r="532" spans="1:8">
      <c r="A532" s="384">
        <f t="shared" si="15"/>
        <v>3156</v>
      </c>
      <c r="B532" s="388">
        <v>65</v>
      </c>
      <c r="C532" s="388" t="s">
        <v>457</v>
      </c>
      <c r="D532" s="491"/>
      <c r="E532" s="374"/>
      <c r="F532" s="388" t="s">
        <v>457</v>
      </c>
      <c r="G532" s="491"/>
      <c r="H532" s="438"/>
    </row>
    <row r="533" spans="1:8">
      <c r="A533" s="384">
        <f t="shared" si="15"/>
        <v>3221</v>
      </c>
      <c r="B533" s="388">
        <v>65</v>
      </c>
      <c r="C533" s="388" t="s">
        <v>458</v>
      </c>
      <c r="D533" s="491"/>
      <c r="E533" s="374"/>
      <c r="F533" s="388" t="s">
        <v>458</v>
      </c>
      <c r="G533" s="491"/>
    </row>
    <row r="534" spans="1:8">
      <c r="A534" s="384">
        <f t="shared" si="15"/>
        <v>3286</v>
      </c>
      <c r="B534" s="388">
        <v>65</v>
      </c>
      <c r="C534" s="388" t="s">
        <v>459</v>
      </c>
      <c r="D534" s="491"/>
      <c r="E534" s="374"/>
      <c r="F534" s="388" t="s">
        <v>459</v>
      </c>
      <c r="G534" s="491"/>
    </row>
    <row r="535" spans="1:8">
      <c r="A535" s="384">
        <f t="shared" si="15"/>
        <v>3351</v>
      </c>
      <c r="B535" s="388">
        <v>65</v>
      </c>
      <c r="C535" s="388" t="s">
        <v>460</v>
      </c>
      <c r="D535" s="491"/>
      <c r="E535" s="374"/>
      <c r="F535" s="388" t="s">
        <v>460</v>
      </c>
      <c r="G535" s="491"/>
    </row>
    <row r="536" spans="1:8">
      <c r="A536" s="384">
        <f t="shared" si="15"/>
        <v>3416</v>
      </c>
      <c r="B536" s="388">
        <v>65</v>
      </c>
      <c r="C536" s="388" t="s">
        <v>461</v>
      </c>
      <c r="D536" s="491"/>
      <c r="E536" s="374"/>
      <c r="F536" s="388" t="s">
        <v>461</v>
      </c>
      <c r="G536" s="491"/>
    </row>
    <row r="537" spans="1:8">
      <c r="A537" s="384">
        <f t="shared" si="15"/>
        <v>3481</v>
      </c>
      <c r="B537" s="388">
        <v>65</v>
      </c>
      <c r="C537" s="388" t="s">
        <v>462</v>
      </c>
      <c r="D537" s="491"/>
      <c r="E537" s="374"/>
      <c r="F537" s="388" t="s">
        <v>462</v>
      </c>
      <c r="G537" s="491"/>
    </row>
    <row r="538" spans="1:8">
      <c r="A538" s="384">
        <f t="shared" si="15"/>
        <v>3546</v>
      </c>
      <c r="B538" s="388">
        <v>65</v>
      </c>
      <c r="C538" s="388" t="s">
        <v>463</v>
      </c>
      <c r="D538" s="491"/>
      <c r="E538" s="374"/>
      <c r="F538" s="388" t="s">
        <v>463</v>
      </c>
      <c r="G538" s="491"/>
    </row>
    <row r="539" spans="1:8">
      <c r="A539" s="384">
        <f t="shared" si="15"/>
        <v>3611</v>
      </c>
      <c r="B539" s="388">
        <v>65</v>
      </c>
      <c r="C539" s="388" t="s">
        <v>464</v>
      </c>
      <c r="D539" s="491"/>
      <c r="E539" s="374"/>
      <c r="F539" s="388" t="s">
        <v>464</v>
      </c>
      <c r="G539" s="491"/>
    </row>
    <row r="540" spans="1:8">
      <c r="A540" s="384">
        <f t="shared" si="15"/>
        <v>3676</v>
      </c>
      <c r="B540" s="388">
        <v>65</v>
      </c>
      <c r="C540" s="388" t="s">
        <v>465</v>
      </c>
      <c r="D540" s="491"/>
      <c r="E540" s="374"/>
      <c r="F540" s="388" t="s">
        <v>465</v>
      </c>
      <c r="G540" s="491"/>
    </row>
    <row r="541" spans="1:8">
      <c r="A541" s="384">
        <f t="shared" si="15"/>
        <v>3741</v>
      </c>
      <c r="B541" s="388">
        <v>65</v>
      </c>
      <c r="C541" s="388" t="s">
        <v>466</v>
      </c>
      <c r="D541" s="491"/>
      <c r="E541" s="374"/>
      <c r="F541" s="388" t="s">
        <v>466</v>
      </c>
      <c r="G541" s="491"/>
    </row>
    <row r="542" spans="1:8">
      <c r="A542" s="384">
        <f t="shared" si="15"/>
        <v>3806</v>
      </c>
      <c r="B542" s="388">
        <v>65</v>
      </c>
      <c r="C542" s="388" t="s">
        <v>467</v>
      </c>
      <c r="D542" s="491"/>
      <c r="E542" s="374"/>
      <c r="F542" s="388" t="s">
        <v>467</v>
      </c>
      <c r="G542" s="491"/>
    </row>
    <row r="543" spans="1:8">
      <c r="A543" s="384">
        <f t="shared" si="15"/>
        <v>3871</v>
      </c>
      <c r="B543" s="388">
        <v>65</v>
      </c>
      <c r="C543" s="388" t="s">
        <v>468</v>
      </c>
      <c r="D543" s="491"/>
      <c r="E543" s="374"/>
      <c r="F543" s="388" t="s">
        <v>468</v>
      </c>
      <c r="G543" s="491"/>
    </row>
    <row r="544" spans="1:8">
      <c r="A544" s="384">
        <f t="shared" si="15"/>
        <v>3936</v>
      </c>
      <c r="B544" s="388">
        <v>65</v>
      </c>
      <c r="C544" s="388" t="s">
        <v>469</v>
      </c>
      <c r="D544" s="491"/>
      <c r="E544" s="374"/>
      <c r="F544" s="388" t="s">
        <v>469</v>
      </c>
      <c r="G544" s="491"/>
    </row>
    <row r="545" spans="1:7">
      <c r="A545" s="384">
        <f t="shared" si="15"/>
        <v>4001</v>
      </c>
      <c r="B545" s="388">
        <v>65</v>
      </c>
      <c r="C545" s="388" t="s">
        <v>470</v>
      </c>
      <c r="D545" s="491"/>
      <c r="E545" s="374"/>
      <c r="F545" s="388" t="s">
        <v>470</v>
      </c>
      <c r="G545" s="491"/>
    </row>
    <row r="546" spans="1:7">
      <c r="A546" s="384">
        <f t="shared" si="15"/>
        <v>4066</v>
      </c>
      <c r="B546" s="388">
        <v>65</v>
      </c>
      <c r="C546" s="388" t="s">
        <v>471</v>
      </c>
      <c r="D546" s="491"/>
      <c r="E546" s="374"/>
      <c r="F546" s="388" t="s">
        <v>471</v>
      </c>
      <c r="G546" s="491"/>
    </row>
    <row r="547" spans="1:7">
      <c r="A547" s="384">
        <f t="shared" si="15"/>
        <v>4131</v>
      </c>
      <c r="B547" s="388">
        <v>65</v>
      </c>
      <c r="C547" s="388" t="s">
        <v>472</v>
      </c>
      <c r="D547" s="491"/>
      <c r="E547" s="374"/>
      <c r="F547" s="388" t="s">
        <v>472</v>
      </c>
      <c r="G547" s="491"/>
    </row>
    <row r="548" spans="1:7">
      <c r="A548" s="384">
        <f t="shared" si="15"/>
        <v>4196</v>
      </c>
      <c r="B548" s="388">
        <v>65</v>
      </c>
      <c r="C548" s="388" t="s">
        <v>473</v>
      </c>
      <c r="D548" s="491"/>
      <c r="E548" s="374"/>
      <c r="F548" s="388" t="s">
        <v>473</v>
      </c>
      <c r="G548" s="491"/>
    </row>
    <row r="549" spans="1:7">
      <c r="A549" s="384">
        <f t="shared" si="15"/>
        <v>4261</v>
      </c>
      <c r="B549" s="388">
        <v>65</v>
      </c>
      <c r="C549" s="388" t="s">
        <v>474</v>
      </c>
      <c r="D549" s="491"/>
      <c r="E549" s="374"/>
      <c r="F549" s="388" t="s">
        <v>474</v>
      </c>
      <c r="G549" s="491"/>
    </row>
    <row r="550" spans="1:7">
      <c r="A550" s="384">
        <f t="shared" si="15"/>
        <v>4326</v>
      </c>
      <c r="B550" s="388">
        <v>65</v>
      </c>
      <c r="C550" s="388" t="s">
        <v>475</v>
      </c>
      <c r="D550" s="491"/>
      <c r="E550" s="374"/>
      <c r="F550" s="388" t="s">
        <v>475</v>
      </c>
      <c r="G550" s="491"/>
    </row>
    <row r="551" spans="1:7">
      <c r="A551" s="384">
        <f t="shared" si="15"/>
        <v>4391</v>
      </c>
      <c r="B551" s="388">
        <v>65</v>
      </c>
      <c r="C551" s="388" t="s">
        <v>476</v>
      </c>
      <c r="D551" s="491"/>
      <c r="E551" s="374"/>
      <c r="F551" s="388" t="s">
        <v>476</v>
      </c>
      <c r="G551" s="491"/>
    </row>
    <row r="552" spans="1:7">
      <c r="A552" s="384">
        <f t="shared" si="15"/>
        <v>4456</v>
      </c>
      <c r="B552" s="388">
        <v>65</v>
      </c>
      <c r="C552" s="388" t="s">
        <v>477</v>
      </c>
      <c r="D552" s="491"/>
      <c r="E552" s="374"/>
      <c r="F552" s="388" t="s">
        <v>477</v>
      </c>
      <c r="G552" s="491"/>
    </row>
    <row r="553" spans="1:7">
      <c r="A553" s="384">
        <f t="shared" si="15"/>
        <v>4521</v>
      </c>
      <c r="B553" s="388">
        <v>65</v>
      </c>
      <c r="C553" s="388" t="s">
        <v>478</v>
      </c>
      <c r="D553" s="491"/>
      <c r="E553" s="374"/>
      <c r="F553" s="388" t="s">
        <v>478</v>
      </c>
      <c r="G553" s="491"/>
    </row>
    <row r="554" spans="1:7">
      <c r="A554" s="384">
        <f t="shared" si="15"/>
        <v>4586</v>
      </c>
      <c r="B554" s="388">
        <v>65</v>
      </c>
      <c r="C554" s="388" t="s">
        <v>479</v>
      </c>
      <c r="D554" s="491"/>
      <c r="E554" s="374"/>
      <c r="F554" s="388" t="s">
        <v>479</v>
      </c>
      <c r="G554" s="491"/>
    </row>
    <row r="555" spans="1:7">
      <c r="A555" s="384">
        <f t="shared" si="15"/>
        <v>4651</v>
      </c>
      <c r="B555" s="388">
        <v>65</v>
      </c>
      <c r="C555" s="388" t="s">
        <v>480</v>
      </c>
      <c r="D555" s="491"/>
      <c r="E555" s="374"/>
      <c r="F555" s="388" t="s">
        <v>480</v>
      </c>
      <c r="G555" s="491"/>
    </row>
    <row r="556" spans="1:7">
      <c r="A556" s="384">
        <f t="shared" si="15"/>
        <v>4716</v>
      </c>
      <c r="B556" s="388">
        <v>65</v>
      </c>
      <c r="C556" s="388" t="s">
        <v>481</v>
      </c>
      <c r="D556" s="491"/>
      <c r="E556" s="374"/>
      <c r="F556" s="388" t="s">
        <v>481</v>
      </c>
      <c r="G556" s="491"/>
    </row>
    <row r="557" spans="1:7" ht="34.200000000000003">
      <c r="A557" s="384">
        <f t="shared" si="15"/>
        <v>4781</v>
      </c>
      <c r="B557" s="384">
        <v>2</v>
      </c>
      <c r="C557" s="384" t="s">
        <v>121</v>
      </c>
      <c r="D557" s="367" t="s">
        <v>482</v>
      </c>
      <c r="E557" s="374"/>
      <c r="F557" s="384" t="s">
        <v>121</v>
      </c>
      <c r="G557" s="367" t="s">
        <v>482</v>
      </c>
    </row>
    <row r="558" spans="1:7" ht="22.8">
      <c r="A558" s="384">
        <f t="shared" si="15"/>
        <v>4783</v>
      </c>
      <c r="B558" s="384">
        <v>1</v>
      </c>
      <c r="C558" s="384" t="s">
        <v>125</v>
      </c>
      <c r="D558" s="367" t="s">
        <v>483</v>
      </c>
      <c r="E558" s="374"/>
      <c r="F558" s="384" t="s">
        <v>125</v>
      </c>
      <c r="G558" s="367" t="s">
        <v>483</v>
      </c>
    </row>
    <row r="559" spans="1:7" ht="34.200000000000003">
      <c r="A559" s="384">
        <f t="shared" si="15"/>
        <v>4784</v>
      </c>
      <c r="B559" s="388">
        <v>2</v>
      </c>
      <c r="C559" s="424" t="s">
        <v>127</v>
      </c>
      <c r="D559" s="367" t="s">
        <v>484</v>
      </c>
      <c r="E559" s="374"/>
      <c r="F559" s="424" t="s">
        <v>127</v>
      </c>
      <c r="G559" s="367" t="s">
        <v>484</v>
      </c>
    </row>
    <row r="560" spans="1:7" ht="45.6">
      <c r="A560" s="384">
        <f t="shared" si="15"/>
        <v>4786</v>
      </c>
      <c r="B560" s="388">
        <v>4</v>
      </c>
      <c r="C560" s="388" t="s">
        <v>129</v>
      </c>
      <c r="D560" s="367" t="s">
        <v>485</v>
      </c>
      <c r="E560" s="374"/>
      <c r="F560" s="388" t="s">
        <v>129</v>
      </c>
      <c r="G560" s="367" t="s">
        <v>485</v>
      </c>
    </row>
    <row r="561" spans="1:7">
      <c r="A561" s="384">
        <f t="shared" si="15"/>
        <v>4790</v>
      </c>
      <c r="B561" s="388">
        <v>1</v>
      </c>
      <c r="C561" s="388" t="s">
        <v>131</v>
      </c>
      <c r="D561" s="367" t="s">
        <v>132</v>
      </c>
      <c r="E561" s="374"/>
      <c r="F561" s="388" t="s">
        <v>131</v>
      </c>
      <c r="G561" s="367" t="s">
        <v>132</v>
      </c>
    </row>
    <row r="562" spans="1:7">
      <c r="A562" s="384">
        <f t="shared" si="15"/>
        <v>4791</v>
      </c>
      <c r="B562" s="395" t="s">
        <v>486</v>
      </c>
      <c r="C562" s="388"/>
      <c r="E562" s="374"/>
      <c r="F562" s="388"/>
      <c r="G562" s="367"/>
    </row>
    <row r="563" spans="1:7">
      <c r="F563" s="367"/>
    </row>
    <row r="564" spans="1:7">
      <c r="F564" s="367"/>
    </row>
    <row r="565" spans="1:7">
      <c r="F565" s="367"/>
    </row>
    <row r="566" spans="1:7">
      <c r="F566" s="367"/>
    </row>
  </sheetData>
  <mergeCells count="233">
    <mergeCell ref="G473:G474"/>
    <mergeCell ref="G482:G483"/>
    <mergeCell ref="G496:G556"/>
    <mergeCell ref="H135:H136"/>
    <mergeCell ref="H220:H221"/>
    <mergeCell ref="H222:H223"/>
    <mergeCell ref="I135:I136"/>
    <mergeCell ref="I222:I223"/>
    <mergeCell ref="G414:G416"/>
    <mergeCell ref="G417:G419"/>
    <mergeCell ref="G422:G424"/>
    <mergeCell ref="G425:G427"/>
    <mergeCell ref="G428:G430"/>
    <mergeCell ref="G433:G435"/>
    <mergeCell ref="G436:G438"/>
    <mergeCell ref="G439:G441"/>
    <mergeCell ref="G470:G471"/>
    <mergeCell ref="G380:G382"/>
    <mergeCell ref="G384:G389"/>
    <mergeCell ref="G390:G392"/>
    <mergeCell ref="G393:G395"/>
    <mergeCell ref="G396:G398"/>
    <mergeCell ref="G400:G402"/>
    <mergeCell ref="G403:G405"/>
    <mergeCell ref="G406:G408"/>
    <mergeCell ref="G411:G413"/>
    <mergeCell ref="G345:G347"/>
    <mergeCell ref="G348:G350"/>
    <mergeCell ref="G352:G357"/>
    <mergeCell ref="G358:G360"/>
    <mergeCell ref="G361:G363"/>
    <mergeCell ref="G364:G366"/>
    <mergeCell ref="G368:G373"/>
    <mergeCell ref="G374:G376"/>
    <mergeCell ref="G377:G379"/>
    <mergeCell ref="G315:G316"/>
    <mergeCell ref="G317:G318"/>
    <mergeCell ref="G319:G323"/>
    <mergeCell ref="G324:G325"/>
    <mergeCell ref="G326:G328"/>
    <mergeCell ref="G329:G331"/>
    <mergeCell ref="G332:G334"/>
    <mergeCell ref="G336:G341"/>
    <mergeCell ref="G342:G344"/>
    <mergeCell ref="G290:G294"/>
    <mergeCell ref="G295:G296"/>
    <mergeCell ref="G297:G299"/>
    <mergeCell ref="G300:G302"/>
    <mergeCell ref="G303:G305"/>
    <mergeCell ref="G307:G308"/>
    <mergeCell ref="G309:G310"/>
    <mergeCell ref="G311:G312"/>
    <mergeCell ref="G313:G314"/>
    <mergeCell ref="G268:G270"/>
    <mergeCell ref="G271:G273"/>
    <mergeCell ref="G274:G276"/>
    <mergeCell ref="G278:G279"/>
    <mergeCell ref="G280:G281"/>
    <mergeCell ref="G282:G283"/>
    <mergeCell ref="G284:G285"/>
    <mergeCell ref="G286:G287"/>
    <mergeCell ref="G288:G289"/>
    <mergeCell ref="G245:G247"/>
    <mergeCell ref="G249:G250"/>
    <mergeCell ref="G251:G252"/>
    <mergeCell ref="G253:G254"/>
    <mergeCell ref="G255:G256"/>
    <mergeCell ref="G257:G258"/>
    <mergeCell ref="G259:G260"/>
    <mergeCell ref="G261:G265"/>
    <mergeCell ref="G266:G267"/>
    <mergeCell ref="G222:G223"/>
    <mergeCell ref="G224:G225"/>
    <mergeCell ref="G226:G227"/>
    <mergeCell ref="G228:G229"/>
    <mergeCell ref="G230:G231"/>
    <mergeCell ref="G232:G236"/>
    <mergeCell ref="G237:G238"/>
    <mergeCell ref="G239:G241"/>
    <mergeCell ref="G242:G244"/>
    <mergeCell ref="F436:F438"/>
    <mergeCell ref="F439:F441"/>
    <mergeCell ref="G46:G50"/>
    <mergeCell ref="G59:G61"/>
    <mergeCell ref="G76:G78"/>
    <mergeCell ref="G93:G95"/>
    <mergeCell ref="G110:G112"/>
    <mergeCell ref="G124:G134"/>
    <mergeCell ref="G135:G136"/>
    <mergeCell ref="G138:G139"/>
    <mergeCell ref="G145:G155"/>
    <mergeCell ref="G156:G157"/>
    <mergeCell ref="G159:G160"/>
    <mergeCell ref="G166:G176"/>
    <mergeCell ref="G177:G178"/>
    <mergeCell ref="G180:G181"/>
    <mergeCell ref="G187:G197"/>
    <mergeCell ref="G198:G199"/>
    <mergeCell ref="G201:G202"/>
    <mergeCell ref="G204:G206"/>
    <mergeCell ref="G208:G210"/>
    <mergeCell ref="G212:G214"/>
    <mergeCell ref="G216:G218"/>
    <mergeCell ref="G220:G221"/>
    <mergeCell ref="F403:F405"/>
    <mergeCell ref="F406:F408"/>
    <mergeCell ref="F411:F413"/>
    <mergeCell ref="F414:F416"/>
    <mergeCell ref="F417:F419"/>
    <mergeCell ref="F422:F424"/>
    <mergeCell ref="F425:F427"/>
    <mergeCell ref="F428:F430"/>
    <mergeCell ref="F433:F435"/>
    <mergeCell ref="F361:F363"/>
    <mergeCell ref="F364:F366"/>
    <mergeCell ref="F374:F376"/>
    <mergeCell ref="F377:F379"/>
    <mergeCell ref="F380:F382"/>
    <mergeCell ref="F390:F392"/>
    <mergeCell ref="F393:F395"/>
    <mergeCell ref="F396:F398"/>
    <mergeCell ref="F400:F402"/>
    <mergeCell ref="D400:D409"/>
    <mergeCell ref="D411:D420"/>
    <mergeCell ref="D422:D431"/>
    <mergeCell ref="D433:D442"/>
    <mergeCell ref="D470:D471"/>
    <mergeCell ref="D473:D474"/>
    <mergeCell ref="D482:D483"/>
    <mergeCell ref="D496:D556"/>
    <mergeCell ref="F239:F241"/>
    <mergeCell ref="F242:F244"/>
    <mergeCell ref="F245:F247"/>
    <mergeCell ref="F268:F270"/>
    <mergeCell ref="F271:F273"/>
    <mergeCell ref="F274:F276"/>
    <mergeCell ref="F297:F299"/>
    <mergeCell ref="F300:F302"/>
    <mergeCell ref="F303:F305"/>
    <mergeCell ref="F326:F328"/>
    <mergeCell ref="F329:F331"/>
    <mergeCell ref="F332:F334"/>
    <mergeCell ref="F342:F344"/>
    <mergeCell ref="F345:F347"/>
    <mergeCell ref="F348:F350"/>
    <mergeCell ref="F358:F360"/>
    <mergeCell ref="D319:D323"/>
    <mergeCell ref="D324:D325"/>
    <mergeCell ref="D326:D328"/>
    <mergeCell ref="D329:D331"/>
    <mergeCell ref="D332:D334"/>
    <mergeCell ref="D336:D350"/>
    <mergeCell ref="D352:D366"/>
    <mergeCell ref="D368:D382"/>
    <mergeCell ref="D384:D398"/>
    <mergeCell ref="D297:D299"/>
    <mergeCell ref="D300:D302"/>
    <mergeCell ref="D303:D305"/>
    <mergeCell ref="D307:D308"/>
    <mergeCell ref="D309:D310"/>
    <mergeCell ref="D311:D312"/>
    <mergeCell ref="D313:D314"/>
    <mergeCell ref="D315:D316"/>
    <mergeCell ref="D317:D318"/>
    <mergeCell ref="D274:D276"/>
    <mergeCell ref="D278:D279"/>
    <mergeCell ref="D280:D281"/>
    <mergeCell ref="D282:D283"/>
    <mergeCell ref="D284:D285"/>
    <mergeCell ref="D286:D287"/>
    <mergeCell ref="D288:D289"/>
    <mergeCell ref="D290:D294"/>
    <mergeCell ref="D295:D296"/>
    <mergeCell ref="D251:D252"/>
    <mergeCell ref="D253:D254"/>
    <mergeCell ref="D255:D256"/>
    <mergeCell ref="D257:D258"/>
    <mergeCell ref="D259:D260"/>
    <mergeCell ref="D261:D265"/>
    <mergeCell ref="D266:D267"/>
    <mergeCell ref="D268:D270"/>
    <mergeCell ref="D271:D273"/>
    <mergeCell ref="D226:D227"/>
    <mergeCell ref="D228:D229"/>
    <mergeCell ref="D230:D231"/>
    <mergeCell ref="D232:D236"/>
    <mergeCell ref="D237:D238"/>
    <mergeCell ref="D239:D241"/>
    <mergeCell ref="D242:D244"/>
    <mergeCell ref="D245:D247"/>
    <mergeCell ref="D249:D250"/>
    <mergeCell ref="D198:D199"/>
    <mergeCell ref="D201:D202"/>
    <mergeCell ref="D204:D206"/>
    <mergeCell ref="D208:D210"/>
    <mergeCell ref="D212:D214"/>
    <mergeCell ref="D216:D218"/>
    <mergeCell ref="D220:D221"/>
    <mergeCell ref="D222:D223"/>
    <mergeCell ref="D224:D225"/>
    <mergeCell ref="C268:C270"/>
    <mergeCell ref="C271:C273"/>
    <mergeCell ref="C274:C276"/>
    <mergeCell ref="C297:C299"/>
    <mergeCell ref="C300:C302"/>
    <mergeCell ref="C303:C305"/>
    <mergeCell ref="C326:C328"/>
    <mergeCell ref="C329:C331"/>
    <mergeCell ref="C332:C334"/>
    <mergeCell ref="A1:B1"/>
    <mergeCell ref="A2:F2"/>
    <mergeCell ref="A4:F4"/>
    <mergeCell ref="A19:B19"/>
    <mergeCell ref="A20:F20"/>
    <mergeCell ref="A22:F22"/>
    <mergeCell ref="C239:C241"/>
    <mergeCell ref="C242:C244"/>
    <mergeCell ref="C245:C247"/>
    <mergeCell ref="D46:D50"/>
    <mergeCell ref="D59:D61"/>
    <mergeCell ref="D76:D78"/>
    <mergeCell ref="D93:D95"/>
    <mergeCell ref="D110:D112"/>
    <mergeCell ref="D124:D134"/>
    <mergeCell ref="D135:D136"/>
    <mergeCell ref="D138:D139"/>
    <mergeCell ref="D145:D155"/>
    <mergeCell ref="D156:D157"/>
    <mergeCell ref="D159:D160"/>
    <mergeCell ref="D166:D176"/>
    <mergeCell ref="D177:D178"/>
    <mergeCell ref="D180:D181"/>
    <mergeCell ref="D187:D197"/>
  </mergeCells>
  <pageMargins left="0.75" right="0.75" top="1" bottom="1" header="0.51111111111111096" footer="0.51111111111111096"/>
  <pageSetup orientation="portrait" horizontalDpi="300" verticalDpi="300"/>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8"/>
  <sheetViews>
    <sheetView topLeftCell="A78" workbookViewId="0">
      <selection activeCell="E79" sqref="E79:E80"/>
    </sheetView>
  </sheetViews>
  <sheetFormatPr defaultColWidth="9.109375" defaultRowHeight="13.2"/>
  <cols>
    <col min="1" max="1" width="24.5546875" style="144" customWidth="1"/>
    <col min="2" max="2" width="17.6640625" style="144" customWidth="1"/>
    <col min="3" max="3" width="26" style="144" customWidth="1"/>
    <col min="4" max="4" width="29.21875"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487</v>
      </c>
      <c r="B2" s="505"/>
      <c r="C2" s="505"/>
      <c r="D2" s="505"/>
      <c r="E2" s="505"/>
    </row>
    <row r="4" spans="1:5" ht="15">
      <c r="A4" s="505" t="s">
        <v>488</v>
      </c>
      <c r="B4" s="505"/>
      <c r="C4" s="505"/>
      <c r="D4" s="505"/>
      <c r="E4" s="505"/>
    </row>
    <row r="6" spans="1:5" s="155" customFormat="1" ht="15">
      <c r="A6" s="152" t="s">
        <v>110</v>
      </c>
      <c r="B6" s="152" t="s">
        <v>111</v>
      </c>
      <c r="C6" s="153" t="s">
        <v>112</v>
      </c>
      <c r="D6" s="154" t="s">
        <v>113</v>
      </c>
    </row>
    <row r="7" spans="1:5">
      <c r="A7" s="144">
        <v>0</v>
      </c>
      <c r="B7" s="144">
        <v>1</v>
      </c>
      <c r="C7" s="144" t="s">
        <v>114</v>
      </c>
      <c r="D7" s="145" t="s">
        <v>115</v>
      </c>
    </row>
    <row r="8" spans="1:5" ht="22.8">
      <c r="A8" s="144">
        <f t="shared" ref="A8:A17" si="0">A7+B7</f>
        <v>1</v>
      </c>
      <c r="B8" s="144">
        <v>1</v>
      </c>
      <c r="C8" s="144" t="s">
        <v>116</v>
      </c>
      <c r="D8" s="145" t="s">
        <v>117</v>
      </c>
    </row>
    <row r="9" spans="1:5">
      <c r="A9" s="144">
        <f t="shared" si="0"/>
        <v>2</v>
      </c>
      <c r="B9" s="144">
        <v>1</v>
      </c>
      <c r="C9" s="144" t="s">
        <v>118</v>
      </c>
      <c r="D9" s="145" t="s">
        <v>119</v>
      </c>
    </row>
    <row r="10" spans="1:5" ht="39.6">
      <c r="A10" s="144">
        <f t="shared" si="0"/>
        <v>3</v>
      </c>
      <c r="B10" s="144">
        <v>2</v>
      </c>
      <c r="C10" s="10" t="s">
        <v>120</v>
      </c>
      <c r="D10" s="145" t="str">
        <f>DEC2HEX(A17-5)</f>
        <v>C</v>
      </c>
      <c r="E10" s="156"/>
    </row>
    <row r="11" spans="1:5" ht="22.8">
      <c r="A11" s="144">
        <f t="shared" si="0"/>
        <v>5</v>
      </c>
      <c r="B11" s="144">
        <v>2</v>
      </c>
      <c r="C11" s="10" t="s">
        <v>121</v>
      </c>
      <c r="D11" s="145" t="s">
        <v>122</v>
      </c>
    </row>
    <row r="12" spans="1:5" ht="22.8">
      <c r="A12" s="144">
        <f t="shared" si="0"/>
        <v>7</v>
      </c>
      <c r="B12" s="144">
        <v>2</v>
      </c>
      <c r="C12" s="10" t="s">
        <v>123</v>
      </c>
      <c r="D12" s="145" t="s">
        <v>124</v>
      </c>
    </row>
    <row r="13" spans="1:5">
      <c r="A13" s="144">
        <f t="shared" si="0"/>
        <v>9</v>
      </c>
      <c r="B13" s="144">
        <v>1</v>
      </c>
      <c r="C13" s="10" t="s">
        <v>125</v>
      </c>
      <c r="D13" s="145" t="s">
        <v>489</v>
      </c>
    </row>
    <row r="14" spans="1:5" ht="22.8">
      <c r="A14" s="144">
        <f t="shared" si="0"/>
        <v>10</v>
      </c>
      <c r="B14" s="144">
        <v>2</v>
      </c>
      <c r="C14" s="144" t="s">
        <v>127</v>
      </c>
      <c r="D14" s="145" t="s">
        <v>128</v>
      </c>
    </row>
    <row r="15" spans="1:5" ht="34.200000000000003">
      <c r="A15" s="144">
        <f t="shared" si="0"/>
        <v>12</v>
      </c>
      <c r="B15" s="144">
        <v>4</v>
      </c>
      <c r="C15" s="144" t="s">
        <v>129</v>
      </c>
      <c r="D15" s="145" t="s">
        <v>130</v>
      </c>
    </row>
    <row r="16" spans="1:5">
      <c r="A16" s="144">
        <f t="shared" si="0"/>
        <v>16</v>
      </c>
      <c r="B16" s="144">
        <v>1</v>
      </c>
      <c r="C16" s="144" t="s">
        <v>131</v>
      </c>
      <c r="D16" s="145" t="s">
        <v>132</v>
      </c>
    </row>
    <row r="17" spans="1:5">
      <c r="A17" s="144">
        <f t="shared" si="0"/>
        <v>17</v>
      </c>
      <c r="C17" s="10"/>
    </row>
    <row r="18" spans="1:5">
      <c r="C18" s="10"/>
    </row>
    <row r="19" spans="1:5" ht="15">
      <c r="A19" s="155"/>
      <c r="B19" s="155"/>
      <c r="C19" s="10"/>
    </row>
    <row r="20" spans="1:5" ht="15">
      <c r="A20" s="505" t="s">
        <v>490</v>
      </c>
      <c r="B20" s="505"/>
      <c r="C20" s="505"/>
      <c r="D20" s="505"/>
      <c r="E20" s="505"/>
    </row>
    <row r="21" spans="1:5" ht="15">
      <c r="A21" s="151"/>
      <c r="B21" s="151"/>
      <c r="C21" s="151"/>
      <c r="D21" s="355"/>
    </row>
    <row r="22" spans="1:5" ht="15">
      <c r="A22" s="505" t="s">
        <v>491</v>
      </c>
      <c r="B22" s="505"/>
      <c r="C22" s="505"/>
      <c r="D22" s="505"/>
      <c r="E22" s="505"/>
    </row>
    <row r="24" spans="1:5" s="155" customFormat="1" ht="15">
      <c r="A24" s="152" t="s">
        <v>110</v>
      </c>
      <c r="B24" s="152" t="s">
        <v>111</v>
      </c>
      <c r="C24" s="153" t="s">
        <v>112</v>
      </c>
      <c r="D24" s="154" t="s">
        <v>113</v>
      </c>
    </row>
    <row r="25" spans="1:5">
      <c r="A25" s="10">
        <v>0</v>
      </c>
      <c r="B25" s="10">
        <v>1</v>
      </c>
      <c r="C25" s="10" t="s">
        <v>135</v>
      </c>
      <c r="D25" s="145" t="s">
        <v>115</v>
      </c>
    </row>
    <row r="26" spans="1:5">
      <c r="A26" s="10">
        <f t="shared" ref="A26:A158" si="1">A25+B25</f>
        <v>1</v>
      </c>
      <c r="B26" s="10">
        <v>1</v>
      </c>
      <c r="C26" s="10" t="s">
        <v>136</v>
      </c>
      <c r="D26" s="145" t="s">
        <v>137</v>
      </c>
    </row>
    <row r="27" spans="1:5">
      <c r="A27" s="10">
        <f t="shared" si="1"/>
        <v>2</v>
      </c>
      <c r="B27" s="10">
        <v>1</v>
      </c>
      <c r="C27" s="15" t="s">
        <v>492</v>
      </c>
      <c r="D27" s="3" t="s">
        <v>139</v>
      </c>
    </row>
    <row r="28" spans="1:5">
      <c r="A28" s="10">
        <f t="shared" si="1"/>
        <v>3</v>
      </c>
      <c r="B28" s="10">
        <v>3</v>
      </c>
      <c r="C28" s="10" t="s">
        <v>140</v>
      </c>
      <c r="D28" s="356" t="s">
        <v>141</v>
      </c>
      <c r="E28" s="156"/>
    </row>
    <row r="29" spans="1:5" s="160" customFormat="1">
      <c r="A29" s="10">
        <f t="shared" si="1"/>
        <v>6</v>
      </c>
      <c r="B29" s="10"/>
      <c r="C29" s="357" t="s">
        <v>258</v>
      </c>
      <c r="D29" s="358"/>
    </row>
    <row r="30" spans="1:5" ht="285">
      <c r="A30" s="10">
        <f t="shared" si="1"/>
        <v>6</v>
      </c>
      <c r="B30" s="144">
        <v>1</v>
      </c>
      <c r="C30" s="10" t="s">
        <v>493</v>
      </c>
      <c r="D30" s="127" t="s">
        <v>494</v>
      </c>
    </row>
    <row r="31" spans="1:5" ht="125.4">
      <c r="A31" s="10">
        <f t="shared" si="1"/>
        <v>7</v>
      </c>
      <c r="B31" s="10" t="s">
        <v>151</v>
      </c>
      <c r="C31" s="10" t="s">
        <v>281</v>
      </c>
      <c r="D31" s="359" t="s">
        <v>495</v>
      </c>
    </row>
    <row r="32" spans="1:5">
      <c r="A32" s="10">
        <f t="shared" si="1"/>
        <v>11</v>
      </c>
      <c r="C32" s="357" t="s">
        <v>294</v>
      </c>
    </row>
    <row r="33" spans="1:4" ht="285">
      <c r="A33" s="10">
        <f t="shared" si="1"/>
        <v>11</v>
      </c>
      <c r="B33" s="144" t="s">
        <v>163</v>
      </c>
      <c r="C33" s="10" t="s">
        <v>493</v>
      </c>
      <c r="D33" s="127" t="s">
        <v>494</v>
      </c>
    </row>
    <row r="34" spans="1:4" ht="125.4">
      <c r="A34" s="10">
        <f t="shared" si="1"/>
        <v>12</v>
      </c>
      <c r="B34" s="10" t="s">
        <v>151</v>
      </c>
      <c r="C34" s="10" t="s">
        <v>281</v>
      </c>
      <c r="D34" s="359" t="s">
        <v>496</v>
      </c>
    </row>
    <row r="35" spans="1:4">
      <c r="A35" s="10">
        <f t="shared" si="1"/>
        <v>16</v>
      </c>
      <c r="C35" s="357" t="s">
        <v>297</v>
      </c>
    </row>
    <row r="36" spans="1:4" ht="285">
      <c r="A36" s="10">
        <f t="shared" si="1"/>
        <v>16</v>
      </c>
      <c r="B36" s="144" t="s">
        <v>163</v>
      </c>
      <c r="C36" s="10" t="s">
        <v>493</v>
      </c>
      <c r="D36" s="127" t="s">
        <v>494</v>
      </c>
    </row>
    <row r="37" spans="1:4" ht="125.4">
      <c r="A37" s="10">
        <f t="shared" si="1"/>
        <v>17</v>
      </c>
      <c r="B37" s="10" t="s">
        <v>151</v>
      </c>
      <c r="C37" s="10" t="s">
        <v>281</v>
      </c>
      <c r="D37" s="359" t="s">
        <v>497</v>
      </c>
    </row>
    <row r="38" spans="1:4">
      <c r="A38" s="10">
        <f t="shared" si="1"/>
        <v>21</v>
      </c>
      <c r="C38" s="357" t="s">
        <v>299</v>
      </c>
    </row>
    <row r="39" spans="1:4" ht="285">
      <c r="A39" s="10">
        <f t="shared" si="1"/>
        <v>21</v>
      </c>
      <c r="B39" s="144" t="s">
        <v>163</v>
      </c>
      <c r="C39" s="10" t="s">
        <v>493</v>
      </c>
      <c r="D39" s="127" t="s">
        <v>494</v>
      </c>
    </row>
    <row r="40" spans="1:4" ht="125.4">
      <c r="A40" s="10">
        <f t="shared" si="1"/>
        <v>22</v>
      </c>
      <c r="B40" s="10" t="s">
        <v>151</v>
      </c>
      <c r="C40" s="10" t="s">
        <v>281</v>
      </c>
      <c r="D40" s="359" t="s">
        <v>498</v>
      </c>
    </row>
    <row r="41" spans="1:4">
      <c r="A41" s="10">
        <f t="shared" si="1"/>
        <v>26</v>
      </c>
      <c r="C41" s="357" t="s">
        <v>218</v>
      </c>
    </row>
    <row r="42" spans="1:4" ht="12.75" customHeight="1">
      <c r="A42" s="10">
        <f t="shared" si="1"/>
        <v>26</v>
      </c>
      <c r="B42" s="144" t="s">
        <v>163</v>
      </c>
      <c r="C42" s="144" t="s">
        <v>499</v>
      </c>
      <c r="D42" s="506" t="s">
        <v>144</v>
      </c>
    </row>
    <row r="43" spans="1:4" ht="25.5" customHeight="1">
      <c r="A43" s="10">
        <f t="shared" si="1"/>
        <v>27</v>
      </c>
      <c r="B43" s="144" t="s">
        <v>163</v>
      </c>
      <c r="C43" s="144" t="s">
        <v>500</v>
      </c>
      <c r="D43" s="506"/>
    </row>
    <row r="44" spans="1:4">
      <c r="A44" s="10">
        <f t="shared" si="1"/>
        <v>28</v>
      </c>
      <c r="C44" s="357" t="s">
        <v>245</v>
      </c>
    </row>
    <row r="45" spans="1:4" ht="12.75" customHeight="1">
      <c r="A45" s="10">
        <f t="shared" si="1"/>
        <v>28</v>
      </c>
      <c r="B45" s="144" t="s">
        <v>163</v>
      </c>
      <c r="C45" s="144" t="s">
        <v>499</v>
      </c>
      <c r="D45" s="506" t="s">
        <v>144</v>
      </c>
    </row>
    <row r="46" spans="1:4" ht="23.25" customHeight="1">
      <c r="A46" s="10">
        <f t="shared" si="1"/>
        <v>29</v>
      </c>
      <c r="B46" s="144" t="s">
        <v>163</v>
      </c>
      <c r="C46" s="144" t="s">
        <v>500</v>
      </c>
      <c r="D46" s="506"/>
    </row>
    <row r="47" spans="1:4">
      <c r="A47" s="10">
        <f t="shared" si="1"/>
        <v>30</v>
      </c>
      <c r="C47" s="357" t="s">
        <v>246</v>
      </c>
    </row>
    <row r="48" spans="1:4" ht="12.75" customHeight="1">
      <c r="A48" s="10">
        <f t="shared" si="1"/>
        <v>30</v>
      </c>
      <c r="B48" s="144" t="s">
        <v>163</v>
      </c>
      <c r="C48" s="144" t="s">
        <v>499</v>
      </c>
      <c r="D48" s="506" t="s">
        <v>144</v>
      </c>
    </row>
    <row r="49" spans="1:4" ht="22.5" customHeight="1">
      <c r="A49" s="10">
        <f t="shared" si="1"/>
        <v>31</v>
      </c>
      <c r="B49" s="144" t="s">
        <v>163</v>
      </c>
      <c r="C49" s="144" t="s">
        <v>500</v>
      </c>
      <c r="D49" s="506"/>
    </row>
    <row r="50" spans="1:4">
      <c r="A50" s="10">
        <f t="shared" si="1"/>
        <v>32</v>
      </c>
      <c r="C50" s="357" t="s">
        <v>247</v>
      </c>
    </row>
    <row r="51" spans="1:4" ht="12.75" customHeight="1">
      <c r="A51" s="10">
        <f t="shared" si="1"/>
        <v>32</v>
      </c>
      <c r="B51" s="144" t="s">
        <v>163</v>
      </c>
      <c r="C51" s="144" t="s">
        <v>499</v>
      </c>
      <c r="D51" s="506" t="s">
        <v>144</v>
      </c>
    </row>
    <row r="52" spans="1:4" ht="22.5" customHeight="1">
      <c r="A52" s="10">
        <f t="shared" si="1"/>
        <v>33</v>
      </c>
      <c r="B52" s="144" t="s">
        <v>163</v>
      </c>
      <c r="C52" s="144" t="s">
        <v>500</v>
      </c>
      <c r="D52" s="506"/>
    </row>
    <row r="53" spans="1:4">
      <c r="A53" s="10">
        <f t="shared" si="1"/>
        <v>34</v>
      </c>
      <c r="C53" s="357" t="s">
        <v>142</v>
      </c>
    </row>
    <row r="54" spans="1:4" ht="34.200000000000003">
      <c r="A54" s="10">
        <f t="shared" si="1"/>
        <v>34</v>
      </c>
      <c r="B54" s="144" t="s">
        <v>145</v>
      </c>
      <c r="C54" s="144" t="s">
        <v>146</v>
      </c>
      <c r="D54" s="145" t="s">
        <v>501</v>
      </c>
    </row>
    <row r="55" spans="1:4" ht="34.200000000000003">
      <c r="A55" s="10">
        <f t="shared" si="1"/>
        <v>36</v>
      </c>
      <c r="B55" s="144" t="s">
        <v>148</v>
      </c>
      <c r="C55" s="144" t="s">
        <v>502</v>
      </c>
      <c r="D55" s="145" t="s">
        <v>150</v>
      </c>
    </row>
    <row r="56" spans="1:4" ht="45.6">
      <c r="A56" s="10">
        <f t="shared" si="1"/>
        <v>39</v>
      </c>
      <c r="B56" s="144" t="s">
        <v>151</v>
      </c>
      <c r="C56" s="144" t="s">
        <v>503</v>
      </c>
      <c r="D56" s="145" t="s">
        <v>157</v>
      </c>
    </row>
    <row r="57" spans="1:4" ht="57">
      <c r="A57" s="10">
        <f t="shared" si="1"/>
        <v>43</v>
      </c>
      <c r="B57" s="144" t="s">
        <v>148</v>
      </c>
      <c r="C57" s="144" t="s">
        <v>154</v>
      </c>
      <c r="D57" s="145" t="s">
        <v>155</v>
      </c>
    </row>
    <row r="58" spans="1:4" ht="57">
      <c r="A58" s="10">
        <f t="shared" si="1"/>
        <v>46</v>
      </c>
      <c r="B58" s="144" t="s">
        <v>163</v>
      </c>
      <c r="C58" s="144" t="s">
        <v>164</v>
      </c>
      <c r="D58" s="360" t="s">
        <v>504</v>
      </c>
    </row>
    <row r="59" spans="1:4">
      <c r="A59" s="10">
        <f t="shared" si="1"/>
        <v>47</v>
      </c>
      <c r="C59" s="357" t="s">
        <v>183</v>
      </c>
      <c r="D59" s="360"/>
    </row>
    <row r="60" spans="1:4" ht="12.75" customHeight="1">
      <c r="A60" s="10">
        <f t="shared" si="1"/>
        <v>47</v>
      </c>
      <c r="B60" s="144">
        <v>2</v>
      </c>
      <c r="C60" s="10" t="s">
        <v>282</v>
      </c>
      <c r="D60" s="507" t="s">
        <v>505</v>
      </c>
    </row>
    <row r="61" spans="1:4" ht="60.75" customHeight="1">
      <c r="A61" s="10">
        <f t="shared" si="1"/>
        <v>49</v>
      </c>
      <c r="B61" s="10" t="s">
        <v>145</v>
      </c>
      <c r="C61" s="144" t="s">
        <v>284</v>
      </c>
      <c r="D61" s="507"/>
    </row>
    <row r="62" spans="1:4">
      <c r="A62" s="10">
        <f t="shared" si="1"/>
        <v>51</v>
      </c>
      <c r="C62" s="357" t="s">
        <v>210</v>
      </c>
    </row>
    <row r="63" spans="1:4" ht="12.75" customHeight="1">
      <c r="A63" s="10">
        <f t="shared" si="1"/>
        <v>51</v>
      </c>
      <c r="B63" s="144">
        <v>2</v>
      </c>
      <c r="C63" s="10" t="s">
        <v>282</v>
      </c>
      <c r="D63" s="507" t="s">
        <v>505</v>
      </c>
    </row>
    <row r="64" spans="1:4" ht="59.25" customHeight="1">
      <c r="A64" s="10">
        <f t="shared" si="1"/>
        <v>53</v>
      </c>
      <c r="B64" s="10" t="s">
        <v>145</v>
      </c>
      <c r="C64" s="144" t="s">
        <v>284</v>
      </c>
      <c r="D64" s="507"/>
    </row>
    <row r="65" spans="1:5">
      <c r="A65" s="10">
        <f t="shared" si="1"/>
        <v>55</v>
      </c>
      <c r="C65" s="157" t="s">
        <v>215</v>
      </c>
    </row>
    <row r="66" spans="1:5" ht="12.75" customHeight="1">
      <c r="A66" s="10">
        <f t="shared" si="1"/>
        <v>55</v>
      </c>
      <c r="B66" s="144">
        <v>2</v>
      </c>
      <c r="C66" s="10" t="s">
        <v>282</v>
      </c>
      <c r="D66" s="507" t="s">
        <v>506</v>
      </c>
    </row>
    <row r="67" spans="1:5" ht="61.5" customHeight="1">
      <c r="A67" s="10">
        <f t="shared" si="1"/>
        <v>57</v>
      </c>
      <c r="B67" s="10" t="s">
        <v>145</v>
      </c>
      <c r="C67" s="144" t="s">
        <v>284</v>
      </c>
      <c r="D67" s="507"/>
    </row>
    <row r="68" spans="1:5">
      <c r="A68" s="10">
        <f t="shared" si="1"/>
        <v>59</v>
      </c>
      <c r="C68" s="157" t="s">
        <v>217</v>
      </c>
    </row>
    <row r="69" spans="1:5" ht="12.75" customHeight="1">
      <c r="A69" s="10">
        <f t="shared" si="1"/>
        <v>59</v>
      </c>
      <c r="B69" s="144">
        <v>2</v>
      </c>
      <c r="C69" s="10" t="s">
        <v>282</v>
      </c>
      <c r="D69" s="507" t="s">
        <v>507</v>
      </c>
    </row>
    <row r="70" spans="1:5" ht="63" customHeight="1">
      <c r="A70" s="10">
        <f t="shared" si="1"/>
        <v>61</v>
      </c>
      <c r="B70" s="10" t="s">
        <v>145</v>
      </c>
      <c r="C70" s="144" t="s">
        <v>284</v>
      </c>
      <c r="D70" s="507"/>
    </row>
    <row r="71" spans="1:5" ht="45.6">
      <c r="A71" s="10">
        <f t="shared" si="1"/>
        <v>63</v>
      </c>
      <c r="B71" s="10">
        <v>1</v>
      </c>
      <c r="C71" s="144" t="s">
        <v>508</v>
      </c>
      <c r="D71" s="145" t="s">
        <v>509</v>
      </c>
    </row>
    <row r="72" spans="1:5" s="197" customFormat="1">
      <c r="A72" s="10">
        <f t="shared" si="1"/>
        <v>64</v>
      </c>
      <c r="B72" s="200">
        <v>4</v>
      </c>
      <c r="C72" s="200" t="s">
        <v>510</v>
      </c>
      <c r="D72" s="200" t="s">
        <v>347</v>
      </c>
    </row>
    <row r="73" spans="1:5">
      <c r="A73" s="10">
        <f t="shared" si="1"/>
        <v>68</v>
      </c>
      <c r="C73" s="157" t="s">
        <v>366</v>
      </c>
    </row>
    <row r="74" spans="1:5" ht="57">
      <c r="A74" s="10">
        <f t="shared" si="1"/>
        <v>68</v>
      </c>
      <c r="B74" s="10" t="s">
        <v>163</v>
      </c>
      <c r="C74" s="10" t="s">
        <v>367</v>
      </c>
      <c r="D74" s="145" t="s">
        <v>511</v>
      </c>
      <c r="E74" s="146">
        <v>0</v>
      </c>
    </row>
    <row r="75" spans="1:5" ht="34.200000000000003">
      <c r="A75" s="10">
        <f t="shared" si="1"/>
        <v>69</v>
      </c>
      <c r="B75" s="10" t="s">
        <v>163</v>
      </c>
      <c r="C75" s="10" t="s">
        <v>369</v>
      </c>
      <c r="D75" s="145" t="s">
        <v>144</v>
      </c>
      <c r="E75" s="146">
        <f t="shared" ref="E75:E91" si="2">E74+B74</f>
        <v>1</v>
      </c>
    </row>
    <row r="76" spans="1:5" ht="34.200000000000003">
      <c r="A76" s="10">
        <f t="shared" si="1"/>
        <v>70</v>
      </c>
      <c r="B76" s="10" t="s">
        <v>145</v>
      </c>
      <c r="C76" s="10" t="s">
        <v>370</v>
      </c>
      <c r="D76" s="145" t="s">
        <v>512</v>
      </c>
      <c r="E76" s="146">
        <f t="shared" si="2"/>
        <v>2</v>
      </c>
    </row>
    <row r="77" spans="1:5" ht="125.4">
      <c r="A77" s="10">
        <f t="shared" si="1"/>
        <v>72</v>
      </c>
      <c r="B77" s="10" t="s">
        <v>151</v>
      </c>
      <c r="C77" s="10" t="s">
        <v>377</v>
      </c>
      <c r="D77" s="359" t="s">
        <v>513</v>
      </c>
      <c r="E77" s="146">
        <f t="shared" si="2"/>
        <v>4</v>
      </c>
    </row>
    <row r="78" spans="1:5" ht="356.4">
      <c r="A78" s="10">
        <f t="shared" si="1"/>
        <v>76</v>
      </c>
      <c r="B78" s="10" t="s">
        <v>163</v>
      </c>
      <c r="C78" s="10" t="s">
        <v>380</v>
      </c>
      <c r="D78" s="218" t="s">
        <v>514</v>
      </c>
      <c r="E78" s="146">
        <f t="shared" si="2"/>
        <v>8</v>
      </c>
    </row>
    <row r="79" spans="1:5" ht="132">
      <c r="A79" s="10">
        <f t="shared" si="1"/>
        <v>77</v>
      </c>
      <c r="B79" s="10" t="s">
        <v>163</v>
      </c>
      <c r="C79" s="10" t="s">
        <v>383</v>
      </c>
      <c r="D79" s="199" t="s">
        <v>385</v>
      </c>
      <c r="E79" s="146">
        <f t="shared" si="2"/>
        <v>9</v>
      </c>
    </row>
    <row r="80" spans="1:5" ht="79.8">
      <c r="A80" s="10">
        <f t="shared" si="1"/>
        <v>78</v>
      </c>
      <c r="B80" s="144" t="s">
        <v>163</v>
      </c>
      <c r="C80" s="10" t="s">
        <v>515</v>
      </c>
      <c r="D80" s="145" t="s">
        <v>516</v>
      </c>
      <c r="E80" s="146">
        <f t="shared" si="2"/>
        <v>10</v>
      </c>
    </row>
    <row r="81" spans="1:5" ht="34.200000000000003">
      <c r="A81" s="10">
        <f t="shared" si="1"/>
        <v>79</v>
      </c>
      <c r="B81" s="144" t="s">
        <v>145</v>
      </c>
      <c r="C81" s="10" t="s">
        <v>392</v>
      </c>
      <c r="D81" s="145" t="s">
        <v>517</v>
      </c>
      <c r="E81" s="146">
        <f t="shared" si="2"/>
        <v>11</v>
      </c>
    </row>
    <row r="82" spans="1:5" ht="79.8">
      <c r="A82" s="10">
        <f t="shared" si="1"/>
        <v>81</v>
      </c>
      <c r="B82" s="144" t="s">
        <v>163</v>
      </c>
      <c r="C82" s="144" t="s">
        <v>395</v>
      </c>
      <c r="D82" s="145" t="s">
        <v>518</v>
      </c>
      <c r="E82" s="146">
        <f t="shared" si="2"/>
        <v>13</v>
      </c>
    </row>
    <row r="83" spans="1:5" s="197" customFormat="1" ht="39.6">
      <c r="A83" s="10">
        <f t="shared" si="1"/>
        <v>82</v>
      </c>
      <c r="B83" s="200">
        <v>1</v>
      </c>
      <c r="C83" s="200" t="s">
        <v>407</v>
      </c>
      <c r="D83" s="221" t="s">
        <v>408</v>
      </c>
      <c r="E83" s="146">
        <f t="shared" si="2"/>
        <v>14</v>
      </c>
    </row>
    <row r="84" spans="1:5" s="197" customFormat="1" ht="39.6">
      <c r="A84" s="10">
        <f t="shared" si="1"/>
        <v>83</v>
      </c>
      <c r="B84" s="200">
        <v>1</v>
      </c>
      <c r="C84" s="200" t="s">
        <v>409</v>
      </c>
      <c r="D84" s="221" t="s">
        <v>408</v>
      </c>
      <c r="E84" s="146">
        <f t="shared" si="2"/>
        <v>15</v>
      </c>
    </row>
    <row r="85" spans="1:5" s="197" customFormat="1" ht="39.6">
      <c r="A85" s="10">
        <f t="shared" si="1"/>
        <v>84</v>
      </c>
      <c r="B85" s="200">
        <v>1</v>
      </c>
      <c r="C85" s="200" t="s">
        <v>410</v>
      </c>
      <c r="D85" s="221" t="s">
        <v>408</v>
      </c>
      <c r="E85" s="146">
        <f t="shared" si="2"/>
        <v>16</v>
      </c>
    </row>
    <row r="86" spans="1:5" s="197" customFormat="1" ht="39.6">
      <c r="A86" s="10">
        <f t="shared" si="1"/>
        <v>85</v>
      </c>
      <c r="B86" s="200">
        <v>1</v>
      </c>
      <c r="C86" s="200" t="s">
        <v>411</v>
      </c>
      <c r="D86" s="221" t="s">
        <v>408</v>
      </c>
      <c r="E86" s="146">
        <f t="shared" si="2"/>
        <v>17</v>
      </c>
    </row>
    <row r="87" spans="1:5" s="197" customFormat="1" ht="39.6">
      <c r="A87" s="10">
        <f t="shared" si="1"/>
        <v>86</v>
      </c>
      <c r="B87" s="200">
        <v>4</v>
      </c>
      <c r="C87" s="200" t="s">
        <v>412</v>
      </c>
      <c r="D87" s="219" t="s">
        <v>413</v>
      </c>
      <c r="E87" s="146">
        <f t="shared" si="2"/>
        <v>18</v>
      </c>
    </row>
    <row r="88" spans="1:5" s="197" customFormat="1" ht="39.6">
      <c r="A88" s="10">
        <f t="shared" si="1"/>
        <v>90</v>
      </c>
      <c r="B88" s="200">
        <v>4</v>
      </c>
      <c r="C88" s="200" t="s">
        <v>414</v>
      </c>
      <c r="D88" s="219" t="s">
        <v>413</v>
      </c>
      <c r="E88" s="146">
        <f t="shared" si="2"/>
        <v>22</v>
      </c>
    </row>
    <row r="89" spans="1:5" s="197" customFormat="1" ht="39.6">
      <c r="A89" s="10">
        <f t="shared" si="1"/>
        <v>94</v>
      </c>
      <c r="B89" s="200">
        <v>1</v>
      </c>
      <c r="C89" s="200" t="s">
        <v>415</v>
      </c>
      <c r="D89" s="219" t="s">
        <v>416</v>
      </c>
      <c r="E89" s="146">
        <f t="shared" si="2"/>
        <v>26</v>
      </c>
    </row>
    <row r="90" spans="1:5" s="197" customFormat="1">
      <c r="A90" s="10">
        <f t="shared" si="1"/>
        <v>95</v>
      </c>
      <c r="B90" s="200">
        <v>1</v>
      </c>
      <c r="C90" s="200" t="s">
        <v>419</v>
      </c>
      <c r="D90" s="200" t="s">
        <v>347</v>
      </c>
      <c r="E90" s="146">
        <f t="shared" si="2"/>
        <v>27</v>
      </c>
    </row>
    <row r="91" spans="1:5">
      <c r="A91" s="10">
        <f t="shared" si="1"/>
        <v>96</v>
      </c>
      <c r="B91" s="10"/>
      <c r="E91" s="146">
        <f t="shared" si="2"/>
        <v>28</v>
      </c>
    </row>
    <row r="92" spans="1:5" ht="12.75" customHeight="1">
      <c r="A92" s="10">
        <f t="shared" si="1"/>
        <v>96</v>
      </c>
      <c r="B92" s="10">
        <v>28</v>
      </c>
      <c r="C92" s="146" t="s">
        <v>420</v>
      </c>
      <c r="D92" s="507" t="s">
        <v>519</v>
      </c>
    </row>
    <row r="93" spans="1:5">
      <c r="A93" s="10">
        <f t="shared" si="1"/>
        <v>124</v>
      </c>
      <c r="B93" s="10">
        <v>28</v>
      </c>
      <c r="C93" s="146" t="s">
        <v>422</v>
      </c>
      <c r="D93" s="507"/>
    </row>
    <row r="94" spans="1:5">
      <c r="A94" s="10">
        <f t="shared" si="1"/>
        <v>152</v>
      </c>
      <c r="B94" s="10">
        <v>28</v>
      </c>
      <c r="C94" s="146" t="s">
        <v>423</v>
      </c>
      <c r="D94" s="507"/>
    </row>
    <row r="95" spans="1:5">
      <c r="A95" s="10">
        <f t="shared" si="1"/>
        <v>180</v>
      </c>
      <c r="B95" s="10">
        <v>28</v>
      </c>
      <c r="C95" s="146" t="s">
        <v>424</v>
      </c>
      <c r="D95" s="507"/>
    </row>
    <row r="96" spans="1:5">
      <c r="A96" s="10">
        <f t="shared" si="1"/>
        <v>208</v>
      </c>
      <c r="B96" s="10">
        <v>28</v>
      </c>
      <c r="C96" s="146" t="s">
        <v>425</v>
      </c>
      <c r="D96" s="507"/>
    </row>
    <row r="97" spans="1:8">
      <c r="A97" s="10">
        <f t="shared" si="1"/>
        <v>236</v>
      </c>
      <c r="B97" s="10">
        <v>28</v>
      </c>
      <c r="C97" s="146" t="s">
        <v>426</v>
      </c>
      <c r="D97" s="507"/>
    </row>
    <row r="98" spans="1:8">
      <c r="A98" s="10">
        <f t="shared" si="1"/>
        <v>264</v>
      </c>
      <c r="B98" s="10">
        <v>28</v>
      </c>
      <c r="C98" s="146" t="s">
        <v>427</v>
      </c>
      <c r="D98" s="507"/>
    </row>
    <row r="99" spans="1:8">
      <c r="A99" s="10">
        <f t="shared" si="1"/>
        <v>292</v>
      </c>
      <c r="B99" s="10">
        <v>28</v>
      </c>
      <c r="C99" s="146" t="s">
        <v>428</v>
      </c>
      <c r="D99" s="507"/>
    </row>
    <row r="100" spans="1:8">
      <c r="A100" s="10">
        <f t="shared" si="1"/>
        <v>320</v>
      </c>
      <c r="B100" s="10">
        <v>28</v>
      </c>
      <c r="C100" s="146" t="s">
        <v>429</v>
      </c>
      <c r="D100" s="507"/>
    </row>
    <row r="101" spans="1:8">
      <c r="A101" s="10">
        <f t="shared" si="1"/>
        <v>348</v>
      </c>
      <c r="B101" s="10">
        <v>28</v>
      </c>
      <c r="C101" s="146" t="s">
        <v>430</v>
      </c>
      <c r="D101" s="507"/>
    </row>
    <row r="102" spans="1:8">
      <c r="A102" s="10">
        <f t="shared" si="1"/>
        <v>376</v>
      </c>
      <c r="B102" s="10">
        <v>28</v>
      </c>
      <c r="C102" s="146" t="s">
        <v>431</v>
      </c>
      <c r="D102" s="507"/>
    </row>
    <row r="103" spans="1:8">
      <c r="A103" s="10">
        <f t="shared" si="1"/>
        <v>404</v>
      </c>
      <c r="B103" s="10">
        <v>28</v>
      </c>
      <c r="C103" s="146" t="s">
        <v>432</v>
      </c>
      <c r="D103" s="507"/>
    </row>
    <row r="104" spans="1:8">
      <c r="A104" s="10">
        <f t="shared" si="1"/>
        <v>432</v>
      </c>
      <c r="B104" s="10">
        <v>28</v>
      </c>
      <c r="C104" s="146" t="s">
        <v>433</v>
      </c>
      <c r="D104" s="507"/>
    </row>
    <row r="105" spans="1:8">
      <c r="A105" s="10">
        <f t="shared" si="1"/>
        <v>460</v>
      </c>
      <c r="B105" s="10">
        <v>28</v>
      </c>
      <c r="C105" s="146" t="s">
        <v>434</v>
      </c>
      <c r="D105" s="507"/>
    </row>
    <row r="106" spans="1:8">
      <c r="A106" s="10">
        <f t="shared" si="1"/>
        <v>488</v>
      </c>
      <c r="B106" s="10">
        <v>28</v>
      </c>
      <c r="C106" s="146" t="s">
        <v>435</v>
      </c>
      <c r="D106" s="507"/>
    </row>
    <row r="107" spans="1:8">
      <c r="A107" s="10">
        <f t="shared" si="1"/>
        <v>516</v>
      </c>
      <c r="B107" s="10">
        <v>28</v>
      </c>
      <c r="C107" s="146" t="s">
        <v>436</v>
      </c>
      <c r="D107" s="507"/>
    </row>
    <row r="108" spans="1:8">
      <c r="A108" s="10">
        <f t="shared" si="1"/>
        <v>544</v>
      </c>
      <c r="B108" s="10">
        <v>28</v>
      </c>
      <c r="C108" s="146" t="s">
        <v>437</v>
      </c>
      <c r="D108" s="507"/>
    </row>
    <row r="109" spans="1:8">
      <c r="A109" s="10">
        <f t="shared" si="1"/>
        <v>572</v>
      </c>
      <c r="B109" s="10">
        <v>28</v>
      </c>
      <c r="C109" s="146" t="s">
        <v>438</v>
      </c>
      <c r="D109" s="507"/>
    </row>
    <row r="110" spans="1:8">
      <c r="A110" s="10">
        <f t="shared" si="1"/>
        <v>600</v>
      </c>
      <c r="B110" s="10">
        <v>28</v>
      </c>
      <c r="C110" s="146" t="s">
        <v>439</v>
      </c>
      <c r="D110" s="507"/>
    </row>
    <row r="111" spans="1:8" s="160" customFormat="1">
      <c r="A111" s="10">
        <f t="shared" si="1"/>
        <v>628</v>
      </c>
      <c r="B111" s="10">
        <v>28</v>
      </c>
      <c r="C111" s="146" t="s">
        <v>440</v>
      </c>
      <c r="D111" s="507"/>
      <c r="E111" s="146"/>
      <c r="H111" s="146"/>
    </row>
    <row r="112" spans="1:8">
      <c r="A112" s="10">
        <f t="shared" si="1"/>
        <v>656</v>
      </c>
      <c r="B112" s="10">
        <v>28</v>
      </c>
      <c r="C112" s="146" t="s">
        <v>441</v>
      </c>
      <c r="D112" s="507"/>
    </row>
    <row r="113" spans="1:4">
      <c r="A113" s="10">
        <f t="shared" si="1"/>
        <v>684</v>
      </c>
      <c r="B113" s="10">
        <v>28</v>
      </c>
      <c r="C113" s="146" t="s">
        <v>442</v>
      </c>
      <c r="D113" s="507"/>
    </row>
    <row r="114" spans="1:4">
      <c r="A114" s="10">
        <f t="shared" si="1"/>
        <v>712</v>
      </c>
      <c r="B114" s="10">
        <v>28</v>
      </c>
      <c r="C114" s="146" t="s">
        <v>443</v>
      </c>
      <c r="D114" s="507"/>
    </row>
    <row r="115" spans="1:4">
      <c r="A115" s="10">
        <f t="shared" si="1"/>
        <v>740</v>
      </c>
      <c r="B115" s="10">
        <v>28</v>
      </c>
      <c r="C115" s="146" t="s">
        <v>444</v>
      </c>
      <c r="D115" s="507"/>
    </row>
    <row r="116" spans="1:4">
      <c r="A116" s="10">
        <f t="shared" si="1"/>
        <v>768</v>
      </c>
      <c r="B116" s="10">
        <v>28</v>
      </c>
      <c r="C116" s="146" t="s">
        <v>445</v>
      </c>
      <c r="D116" s="507"/>
    </row>
    <row r="117" spans="1:4">
      <c r="A117" s="10">
        <f t="shared" si="1"/>
        <v>796</v>
      </c>
      <c r="B117" s="10">
        <v>28</v>
      </c>
      <c r="C117" s="146" t="s">
        <v>446</v>
      </c>
      <c r="D117" s="507"/>
    </row>
    <row r="118" spans="1:4">
      <c r="A118" s="10">
        <f t="shared" si="1"/>
        <v>824</v>
      </c>
      <c r="B118" s="10">
        <v>28</v>
      </c>
      <c r="C118" s="146" t="s">
        <v>447</v>
      </c>
      <c r="D118" s="507"/>
    </row>
    <row r="119" spans="1:4">
      <c r="A119" s="10">
        <f t="shared" si="1"/>
        <v>852</v>
      </c>
      <c r="B119" s="10">
        <v>28</v>
      </c>
      <c r="C119" s="146" t="s">
        <v>448</v>
      </c>
      <c r="D119" s="507"/>
    </row>
    <row r="120" spans="1:4">
      <c r="A120" s="10">
        <f t="shared" si="1"/>
        <v>880</v>
      </c>
      <c r="B120" s="10">
        <v>28</v>
      </c>
      <c r="C120" s="146" t="s">
        <v>449</v>
      </c>
      <c r="D120" s="507"/>
    </row>
    <row r="121" spans="1:4">
      <c r="A121" s="10">
        <f t="shared" si="1"/>
        <v>908</v>
      </c>
      <c r="B121" s="10">
        <v>28</v>
      </c>
      <c r="C121" s="146" t="s">
        <v>450</v>
      </c>
      <c r="D121" s="507"/>
    </row>
    <row r="122" spans="1:4">
      <c r="A122" s="10">
        <f t="shared" si="1"/>
        <v>936</v>
      </c>
      <c r="B122" s="10">
        <v>28</v>
      </c>
      <c r="C122" s="146" t="s">
        <v>451</v>
      </c>
      <c r="D122" s="507"/>
    </row>
    <row r="123" spans="1:4">
      <c r="A123" s="10">
        <f t="shared" si="1"/>
        <v>964</v>
      </c>
      <c r="B123" s="10">
        <v>28</v>
      </c>
      <c r="C123" s="146" t="s">
        <v>452</v>
      </c>
      <c r="D123" s="507"/>
    </row>
    <row r="124" spans="1:4">
      <c r="A124" s="10">
        <f t="shared" si="1"/>
        <v>992</v>
      </c>
      <c r="B124" s="10">
        <v>28</v>
      </c>
      <c r="C124" s="146" t="s">
        <v>453</v>
      </c>
      <c r="D124" s="507"/>
    </row>
    <row r="125" spans="1:4">
      <c r="A125" s="10">
        <f t="shared" si="1"/>
        <v>1020</v>
      </c>
      <c r="B125" s="10">
        <v>28</v>
      </c>
      <c r="C125" s="146" t="s">
        <v>454</v>
      </c>
      <c r="D125" s="507"/>
    </row>
    <row r="126" spans="1:4">
      <c r="A126" s="10">
        <f t="shared" si="1"/>
        <v>1048</v>
      </c>
      <c r="B126" s="10">
        <v>28</v>
      </c>
      <c r="C126" s="146" t="s">
        <v>455</v>
      </c>
      <c r="D126" s="507"/>
    </row>
    <row r="127" spans="1:4">
      <c r="A127" s="10">
        <f t="shared" si="1"/>
        <v>1076</v>
      </c>
      <c r="B127" s="10">
        <v>28</v>
      </c>
      <c r="C127" s="146" t="s">
        <v>456</v>
      </c>
      <c r="D127" s="507"/>
    </row>
    <row r="128" spans="1:4">
      <c r="A128" s="10">
        <f t="shared" si="1"/>
        <v>1104</v>
      </c>
      <c r="B128" s="10">
        <v>28</v>
      </c>
      <c r="C128" s="146" t="s">
        <v>457</v>
      </c>
      <c r="D128" s="507"/>
    </row>
    <row r="129" spans="1:4">
      <c r="A129" s="10">
        <f t="shared" si="1"/>
        <v>1132</v>
      </c>
      <c r="B129" s="10">
        <v>28</v>
      </c>
      <c r="C129" s="146" t="s">
        <v>458</v>
      </c>
      <c r="D129" s="507"/>
    </row>
    <row r="130" spans="1:4">
      <c r="A130" s="10">
        <f t="shared" si="1"/>
        <v>1160</v>
      </c>
      <c r="B130" s="10">
        <v>28</v>
      </c>
      <c r="C130" s="146" t="s">
        <v>459</v>
      </c>
      <c r="D130" s="507"/>
    </row>
    <row r="131" spans="1:4">
      <c r="A131" s="10">
        <f t="shared" si="1"/>
        <v>1188</v>
      </c>
      <c r="B131" s="10">
        <v>28</v>
      </c>
      <c r="C131" s="146" t="s">
        <v>460</v>
      </c>
      <c r="D131" s="507"/>
    </row>
    <row r="132" spans="1:4">
      <c r="A132" s="10">
        <f t="shared" si="1"/>
        <v>1216</v>
      </c>
      <c r="B132" s="10">
        <v>28</v>
      </c>
      <c r="C132" s="146" t="s">
        <v>461</v>
      </c>
      <c r="D132" s="507"/>
    </row>
    <row r="133" spans="1:4">
      <c r="A133" s="10">
        <f t="shared" si="1"/>
        <v>1244</v>
      </c>
      <c r="B133" s="10">
        <v>28</v>
      </c>
      <c r="C133" s="146" t="s">
        <v>462</v>
      </c>
      <c r="D133" s="507"/>
    </row>
    <row r="134" spans="1:4">
      <c r="A134" s="10">
        <f t="shared" si="1"/>
        <v>1272</v>
      </c>
      <c r="B134" s="10">
        <v>28</v>
      </c>
      <c r="C134" s="146" t="s">
        <v>463</v>
      </c>
      <c r="D134" s="507"/>
    </row>
    <row r="135" spans="1:4">
      <c r="A135" s="10">
        <f t="shared" si="1"/>
        <v>1300</v>
      </c>
      <c r="B135" s="10">
        <v>28</v>
      </c>
      <c r="C135" s="146" t="s">
        <v>464</v>
      </c>
      <c r="D135" s="507"/>
    </row>
    <row r="136" spans="1:4">
      <c r="A136" s="10">
        <f t="shared" si="1"/>
        <v>1328</v>
      </c>
      <c r="B136" s="10">
        <v>28</v>
      </c>
      <c r="C136" s="146" t="s">
        <v>465</v>
      </c>
      <c r="D136" s="507"/>
    </row>
    <row r="137" spans="1:4">
      <c r="A137" s="10">
        <f t="shared" si="1"/>
        <v>1356</v>
      </c>
      <c r="B137" s="10">
        <v>28</v>
      </c>
      <c r="C137" s="146" t="s">
        <v>466</v>
      </c>
      <c r="D137" s="507"/>
    </row>
    <row r="138" spans="1:4">
      <c r="A138" s="10">
        <f t="shared" si="1"/>
        <v>1384</v>
      </c>
      <c r="B138" s="10">
        <v>28</v>
      </c>
      <c r="C138" s="146" t="s">
        <v>467</v>
      </c>
      <c r="D138" s="507"/>
    </row>
    <row r="139" spans="1:4">
      <c r="A139" s="10">
        <f t="shared" si="1"/>
        <v>1412</v>
      </c>
      <c r="B139" s="10">
        <v>28</v>
      </c>
      <c r="C139" s="146" t="s">
        <v>468</v>
      </c>
      <c r="D139" s="507"/>
    </row>
    <row r="140" spans="1:4">
      <c r="A140" s="10">
        <f t="shared" si="1"/>
        <v>1440</v>
      </c>
      <c r="B140" s="10">
        <v>28</v>
      </c>
      <c r="C140" s="146" t="s">
        <v>469</v>
      </c>
      <c r="D140" s="507"/>
    </row>
    <row r="141" spans="1:4">
      <c r="A141" s="10">
        <f t="shared" si="1"/>
        <v>1468</v>
      </c>
      <c r="B141" s="10">
        <v>28</v>
      </c>
      <c r="C141" s="146" t="s">
        <v>470</v>
      </c>
      <c r="D141" s="507"/>
    </row>
    <row r="142" spans="1:4">
      <c r="A142" s="10">
        <f t="shared" si="1"/>
        <v>1496</v>
      </c>
      <c r="B142" s="10">
        <v>28</v>
      </c>
      <c r="C142" s="146" t="s">
        <v>471</v>
      </c>
      <c r="D142" s="507"/>
    </row>
    <row r="143" spans="1:4">
      <c r="A143" s="10">
        <f t="shared" si="1"/>
        <v>1524</v>
      </c>
      <c r="B143" s="10">
        <v>28</v>
      </c>
      <c r="C143" s="146" t="s">
        <v>472</v>
      </c>
      <c r="D143" s="507"/>
    </row>
    <row r="144" spans="1:4">
      <c r="A144" s="10">
        <f t="shared" si="1"/>
        <v>1552</v>
      </c>
      <c r="B144" s="10">
        <v>28</v>
      </c>
      <c r="C144" s="146" t="s">
        <v>473</v>
      </c>
      <c r="D144" s="507"/>
    </row>
    <row r="145" spans="1:4">
      <c r="A145" s="10">
        <f t="shared" si="1"/>
        <v>1580</v>
      </c>
      <c r="B145" s="10">
        <v>28</v>
      </c>
      <c r="C145" s="146" t="s">
        <v>474</v>
      </c>
      <c r="D145" s="507"/>
    </row>
    <row r="146" spans="1:4">
      <c r="A146" s="10">
        <f t="shared" si="1"/>
        <v>1608</v>
      </c>
      <c r="B146" s="10">
        <v>28</v>
      </c>
      <c r="C146" s="146" t="s">
        <v>475</v>
      </c>
      <c r="D146" s="507"/>
    </row>
    <row r="147" spans="1:4">
      <c r="A147" s="10">
        <f t="shared" si="1"/>
        <v>1636</v>
      </c>
      <c r="B147" s="10">
        <v>28</v>
      </c>
      <c r="C147" s="146" t="s">
        <v>476</v>
      </c>
      <c r="D147" s="507"/>
    </row>
    <row r="148" spans="1:4">
      <c r="A148" s="10">
        <f t="shared" si="1"/>
        <v>1664</v>
      </c>
      <c r="B148" s="10">
        <v>28</v>
      </c>
      <c r="C148" s="146" t="s">
        <v>477</v>
      </c>
      <c r="D148" s="507"/>
    </row>
    <row r="149" spans="1:4">
      <c r="A149" s="10">
        <f t="shared" si="1"/>
        <v>1692</v>
      </c>
      <c r="B149" s="10">
        <v>28</v>
      </c>
      <c r="C149" s="146" t="s">
        <v>478</v>
      </c>
      <c r="D149" s="507"/>
    </row>
    <row r="150" spans="1:4">
      <c r="A150" s="10">
        <f t="shared" si="1"/>
        <v>1720</v>
      </c>
      <c r="B150" s="10">
        <v>28</v>
      </c>
      <c r="C150" s="146" t="s">
        <v>479</v>
      </c>
      <c r="D150" s="507"/>
    </row>
    <row r="151" spans="1:4">
      <c r="A151" s="10">
        <f t="shared" si="1"/>
        <v>1748</v>
      </c>
      <c r="B151" s="10">
        <v>28</v>
      </c>
      <c r="C151" s="146" t="s">
        <v>480</v>
      </c>
      <c r="D151" s="507"/>
    </row>
    <row r="152" spans="1:4">
      <c r="A152" s="10">
        <f t="shared" si="1"/>
        <v>1776</v>
      </c>
      <c r="B152" s="10">
        <v>28</v>
      </c>
      <c r="C152" s="146" t="s">
        <v>481</v>
      </c>
      <c r="D152" s="507"/>
    </row>
    <row r="153" spans="1:4" ht="34.200000000000003">
      <c r="A153" s="10">
        <f t="shared" si="1"/>
        <v>1804</v>
      </c>
      <c r="B153" s="10">
        <v>2</v>
      </c>
      <c r="C153" s="10" t="s">
        <v>121</v>
      </c>
      <c r="D153" s="145" t="s">
        <v>520</v>
      </c>
    </row>
    <row r="154" spans="1:4" ht="22.8">
      <c r="A154" s="10">
        <f t="shared" si="1"/>
        <v>1806</v>
      </c>
      <c r="B154" s="10">
        <v>1</v>
      </c>
      <c r="C154" s="10" t="s">
        <v>521</v>
      </c>
      <c r="D154" s="145" t="s">
        <v>483</v>
      </c>
    </row>
    <row r="155" spans="1:4" ht="34.200000000000003">
      <c r="A155" s="10">
        <f t="shared" si="1"/>
        <v>1807</v>
      </c>
      <c r="B155" s="144">
        <v>2</v>
      </c>
      <c r="C155" s="144" t="s">
        <v>127</v>
      </c>
      <c r="D155" s="145" t="s">
        <v>522</v>
      </c>
    </row>
    <row r="156" spans="1:4" ht="45.6">
      <c r="A156" s="10">
        <f t="shared" si="1"/>
        <v>1809</v>
      </c>
      <c r="B156" s="144">
        <v>4</v>
      </c>
      <c r="C156" s="144" t="s">
        <v>129</v>
      </c>
      <c r="D156" s="145" t="s">
        <v>485</v>
      </c>
    </row>
    <row r="157" spans="1:4">
      <c r="A157" s="10">
        <f t="shared" si="1"/>
        <v>1813</v>
      </c>
      <c r="B157" s="144">
        <v>1</v>
      </c>
      <c r="C157" s="144" t="s">
        <v>131</v>
      </c>
      <c r="D157" s="145" t="s">
        <v>132</v>
      </c>
    </row>
    <row r="158" spans="1:4">
      <c r="A158" s="10">
        <f t="shared" si="1"/>
        <v>1814</v>
      </c>
      <c r="B158" s="157" t="s">
        <v>486</v>
      </c>
    </row>
  </sheetData>
  <mergeCells count="13">
    <mergeCell ref="D66:D67"/>
    <mergeCell ref="D69:D70"/>
    <mergeCell ref="D92:D152"/>
    <mergeCell ref="D45:D46"/>
    <mergeCell ref="D48:D49"/>
    <mergeCell ref="D51:D52"/>
    <mergeCell ref="D60:D61"/>
    <mergeCell ref="D63:D64"/>
    <mergeCell ref="A2:E2"/>
    <mergeCell ref="A4:E4"/>
    <mergeCell ref="A20:E20"/>
    <mergeCell ref="A22:E22"/>
    <mergeCell ref="D42:D43"/>
  </mergeCells>
  <pageMargins left="0.75" right="0.75" top="1" bottom="1" header="0.51111111111111096" footer="0.51111111111111096"/>
  <pageSetup orientation="portrait" horizontalDpi="300" verticalDpi="300"/>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2"/>
  <sheetViews>
    <sheetView topLeftCell="A125" workbookViewId="0">
      <selection activeCell="G2" sqref="G2"/>
    </sheetView>
  </sheetViews>
  <sheetFormatPr defaultColWidth="9.109375" defaultRowHeight="13.2"/>
  <cols>
    <col min="1" max="1" width="24.6640625" style="144" customWidth="1"/>
    <col min="2" max="2" width="17.6640625" style="144" customWidth="1"/>
    <col min="3" max="3" width="26" style="216" customWidth="1"/>
    <col min="4" max="4" width="48.88671875" style="156" customWidth="1"/>
    <col min="5" max="5" width="40.21875" style="146" customWidth="1"/>
    <col min="6" max="6" width="33.77734375" style="317" customWidth="1"/>
    <col min="7" max="7" width="17" style="329" customWidth="1"/>
    <col min="8" max="8" width="4.5546875" style="146" customWidth="1"/>
    <col min="9" max="9" width="9.109375" style="146" customWidth="1"/>
    <col min="10" max="16384" width="9.109375" style="146"/>
  </cols>
  <sheetData>
    <row r="1" spans="1:7" ht="26.4">
      <c r="A1" s="155"/>
      <c r="B1" s="155"/>
      <c r="F1" s="318" t="s">
        <v>106</v>
      </c>
      <c r="G1" s="319" t="s">
        <v>107</v>
      </c>
    </row>
    <row r="2" spans="1:7" ht="15">
      <c r="A2" s="505" t="s">
        <v>54</v>
      </c>
      <c r="B2" s="505"/>
      <c r="C2" s="505"/>
      <c r="D2" s="505"/>
      <c r="E2" s="505"/>
    </row>
    <row r="4" spans="1:7" s="196" customFormat="1" ht="15">
      <c r="A4" s="505" t="s">
        <v>523</v>
      </c>
      <c r="B4" s="505"/>
      <c r="C4" s="505"/>
      <c r="D4" s="505"/>
      <c r="E4" s="505"/>
      <c r="F4" s="320"/>
      <c r="G4" s="329"/>
    </row>
    <row r="5" spans="1:7" ht="15">
      <c r="A5" s="151"/>
      <c r="B5" s="151"/>
      <c r="D5" s="167"/>
    </row>
    <row r="6" spans="1:7" ht="15" customHeight="1">
      <c r="A6" s="510" t="s">
        <v>524</v>
      </c>
      <c r="B6" s="510"/>
      <c r="C6" s="510"/>
      <c r="D6" s="510"/>
      <c r="E6" s="510"/>
    </row>
    <row r="7" spans="1:7" ht="15" customHeight="1">
      <c r="A7" s="510"/>
      <c r="B7" s="510"/>
      <c r="C7" s="510"/>
      <c r="D7" s="510"/>
      <c r="E7" s="510"/>
    </row>
    <row r="8" spans="1:7" ht="15" customHeight="1">
      <c r="A8" s="510"/>
      <c r="B8" s="510"/>
      <c r="C8" s="510"/>
      <c r="D8" s="510"/>
      <c r="E8" s="510"/>
    </row>
    <row r="9" spans="1:7" ht="15" customHeight="1">
      <c r="A9" s="510"/>
      <c r="B9" s="510"/>
      <c r="C9" s="510"/>
      <c r="D9" s="510"/>
      <c r="E9" s="510"/>
    </row>
    <row r="10" spans="1:7" ht="60.75" customHeight="1">
      <c r="A10" s="510"/>
      <c r="B10" s="510"/>
      <c r="C10" s="510"/>
      <c r="D10" s="510"/>
      <c r="E10" s="510"/>
    </row>
    <row r="11" spans="1:7">
      <c r="A11" s="223"/>
      <c r="B11" s="223"/>
      <c r="C11" s="223"/>
      <c r="D11" s="223"/>
      <c r="E11" s="223"/>
    </row>
    <row r="13" spans="1:7" s="155" customFormat="1" ht="18" customHeight="1">
      <c r="A13" s="152" t="s">
        <v>110</v>
      </c>
      <c r="B13" s="152" t="s">
        <v>111</v>
      </c>
      <c r="C13" s="153" t="s">
        <v>112</v>
      </c>
      <c r="D13" s="154" t="s">
        <v>113</v>
      </c>
      <c r="F13" s="321"/>
      <c r="G13" s="331"/>
    </row>
    <row r="14" spans="1:7">
      <c r="A14" s="144">
        <v>0</v>
      </c>
      <c r="B14" s="144">
        <v>1</v>
      </c>
      <c r="C14" s="216" t="s">
        <v>114</v>
      </c>
      <c r="D14" s="156" t="s">
        <v>115</v>
      </c>
    </row>
    <row r="15" spans="1:7">
      <c r="A15" s="144">
        <f t="shared" ref="A15:A132" si="0">A14+B14</f>
        <v>1</v>
      </c>
      <c r="B15" s="144">
        <v>1</v>
      </c>
      <c r="C15" s="216" t="s">
        <v>116</v>
      </c>
      <c r="D15" s="156" t="s">
        <v>117</v>
      </c>
    </row>
    <row r="16" spans="1:7">
      <c r="A16" s="144">
        <f t="shared" si="0"/>
        <v>2</v>
      </c>
      <c r="B16" s="144">
        <v>1</v>
      </c>
      <c r="C16" s="216" t="s">
        <v>525</v>
      </c>
      <c r="D16" s="156" t="s">
        <v>526</v>
      </c>
    </row>
    <row r="17" spans="1:5" ht="39.6">
      <c r="A17" s="144">
        <f t="shared" si="0"/>
        <v>3</v>
      </c>
      <c r="B17" s="144">
        <v>3</v>
      </c>
      <c r="C17" s="10" t="s">
        <v>120</v>
      </c>
      <c r="D17" s="14" t="str">
        <f>DEC2HEX(A132-5)</f>
        <v>8B</v>
      </c>
      <c r="E17" s="156"/>
    </row>
    <row r="18" spans="1:5">
      <c r="A18" s="144">
        <f t="shared" si="0"/>
        <v>6</v>
      </c>
      <c r="B18" s="144">
        <v>1</v>
      </c>
      <c r="C18" s="224" t="s">
        <v>527</v>
      </c>
      <c r="D18" s="14" t="s">
        <v>528</v>
      </c>
      <c r="E18" s="156"/>
    </row>
    <row r="19" spans="1:5">
      <c r="A19" s="144">
        <f t="shared" si="0"/>
        <v>7</v>
      </c>
      <c r="B19" s="144">
        <v>1</v>
      </c>
      <c r="C19" s="224" t="s">
        <v>116</v>
      </c>
      <c r="D19" s="14" t="s">
        <v>529</v>
      </c>
      <c r="E19" s="156"/>
    </row>
    <row r="20" spans="1:5" ht="129" customHeight="1">
      <c r="A20" s="144">
        <f t="shared" si="0"/>
        <v>8</v>
      </c>
      <c r="B20" s="144">
        <v>1</v>
      </c>
      <c r="C20" s="217" t="s">
        <v>530</v>
      </c>
      <c r="D20" s="156" t="s">
        <v>531</v>
      </c>
    </row>
    <row r="21" spans="1:5" ht="12.75" customHeight="1">
      <c r="A21" s="144">
        <f t="shared" si="0"/>
        <v>9</v>
      </c>
      <c r="B21" s="144">
        <v>1</v>
      </c>
      <c r="C21" s="217" t="s">
        <v>532</v>
      </c>
      <c r="D21" s="508" t="s">
        <v>533</v>
      </c>
    </row>
    <row r="22" spans="1:5">
      <c r="A22" s="144">
        <f t="shared" si="0"/>
        <v>10</v>
      </c>
      <c r="B22" s="144">
        <v>1</v>
      </c>
      <c r="C22" s="217" t="s">
        <v>534</v>
      </c>
      <c r="D22" s="508"/>
    </row>
    <row r="23" spans="1:5">
      <c r="A23" s="144">
        <f t="shared" si="0"/>
        <v>11</v>
      </c>
      <c r="B23" s="144">
        <v>1</v>
      </c>
      <c r="C23" s="217" t="s">
        <v>535</v>
      </c>
      <c r="D23" s="508"/>
    </row>
    <row r="24" spans="1:5">
      <c r="A24" s="144">
        <f t="shared" si="0"/>
        <v>12</v>
      </c>
      <c r="B24" s="144">
        <v>1</v>
      </c>
      <c r="C24" s="217" t="s">
        <v>536</v>
      </c>
      <c r="D24" s="508"/>
    </row>
    <row r="25" spans="1:5">
      <c r="A25" s="144">
        <f t="shared" si="0"/>
        <v>13</v>
      </c>
      <c r="B25" s="144">
        <v>1</v>
      </c>
      <c r="C25" s="217" t="s">
        <v>537</v>
      </c>
      <c r="D25" s="508"/>
    </row>
    <row r="26" spans="1:5">
      <c r="A26" s="144">
        <f t="shared" si="0"/>
        <v>14</v>
      </c>
      <c r="B26" s="144">
        <v>1</v>
      </c>
      <c r="C26" s="217" t="s">
        <v>538</v>
      </c>
      <c r="D26" s="508"/>
    </row>
    <row r="27" spans="1:5">
      <c r="A27" s="144">
        <f t="shared" si="0"/>
        <v>15</v>
      </c>
      <c r="B27" s="144">
        <v>1</v>
      </c>
      <c r="C27" s="217" t="s">
        <v>539</v>
      </c>
      <c r="D27" s="508"/>
    </row>
    <row r="28" spans="1:5">
      <c r="A28" s="144">
        <f t="shared" si="0"/>
        <v>16</v>
      </c>
      <c r="B28" s="144">
        <v>1</v>
      </c>
      <c r="C28" s="217" t="s">
        <v>540</v>
      </c>
      <c r="D28" s="508"/>
    </row>
    <row r="29" spans="1:5">
      <c r="A29" s="144">
        <f t="shared" si="0"/>
        <v>17</v>
      </c>
      <c r="B29" s="144">
        <v>1</v>
      </c>
      <c r="C29" s="217" t="s">
        <v>541</v>
      </c>
      <c r="D29" s="508"/>
    </row>
    <row r="30" spans="1:5">
      <c r="A30" s="144">
        <f t="shared" si="0"/>
        <v>18</v>
      </c>
      <c r="B30" s="144">
        <v>1</v>
      </c>
      <c r="C30" s="217" t="s">
        <v>542</v>
      </c>
      <c r="D30" s="508"/>
    </row>
    <row r="31" spans="1:5">
      <c r="A31" s="144">
        <f t="shared" si="0"/>
        <v>19</v>
      </c>
      <c r="B31" s="144">
        <v>1</v>
      </c>
      <c r="C31" s="217" t="s">
        <v>543</v>
      </c>
      <c r="D31" s="508"/>
    </row>
    <row r="32" spans="1:5">
      <c r="A32" s="144">
        <f t="shared" si="0"/>
        <v>20</v>
      </c>
      <c r="B32" s="144">
        <v>1</v>
      </c>
      <c r="C32" s="217" t="s">
        <v>544</v>
      </c>
      <c r="D32" s="508"/>
    </row>
    <row r="33" spans="1:5">
      <c r="A33" s="144">
        <f t="shared" si="0"/>
        <v>21</v>
      </c>
      <c r="B33" s="144">
        <v>1</v>
      </c>
      <c r="C33" s="217" t="s">
        <v>545</v>
      </c>
      <c r="D33" s="508"/>
    </row>
    <row r="34" spans="1:5">
      <c r="A34" s="144">
        <f t="shared" si="0"/>
        <v>22</v>
      </c>
      <c r="B34" s="144">
        <v>1</v>
      </c>
      <c r="C34" s="217" t="s">
        <v>546</v>
      </c>
      <c r="D34" s="508"/>
    </row>
    <row r="35" spans="1:5">
      <c r="A35" s="144">
        <f t="shared" si="0"/>
        <v>23</v>
      </c>
      <c r="B35" s="144">
        <v>1</v>
      </c>
      <c r="C35" s="217" t="s">
        <v>547</v>
      </c>
      <c r="D35" s="508"/>
    </row>
    <row r="36" spans="1:5">
      <c r="A36" s="144">
        <f t="shared" si="0"/>
        <v>24</v>
      </c>
      <c r="B36" s="144">
        <v>1</v>
      </c>
      <c r="C36" s="217" t="s">
        <v>548</v>
      </c>
      <c r="D36" s="508"/>
    </row>
    <row r="37" spans="1:5">
      <c r="A37" s="144">
        <f t="shared" si="0"/>
        <v>25</v>
      </c>
      <c r="B37" s="144">
        <v>1</v>
      </c>
      <c r="C37" s="217" t="s">
        <v>549</v>
      </c>
      <c r="D37" s="508"/>
    </row>
    <row r="38" spans="1:5">
      <c r="A38" s="144">
        <f t="shared" si="0"/>
        <v>26</v>
      </c>
      <c r="B38" s="144">
        <v>1</v>
      </c>
      <c r="C38" s="217" t="s">
        <v>550</v>
      </c>
      <c r="D38" s="508"/>
    </row>
    <row r="39" spans="1:5">
      <c r="A39" s="144">
        <f t="shared" si="0"/>
        <v>27</v>
      </c>
      <c r="B39" s="144">
        <v>1</v>
      </c>
      <c r="C39" s="217" t="s">
        <v>551</v>
      </c>
      <c r="D39" s="508"/>
    </row>
    <row r="40" spans="1:5">
      <c r="A40" s="144">
        <f t="shared" si="0"/>
        <v>28</v>
      </c>
      <c r="B40" s="144">
        <v>1</v>
      </c>
      <c r="C40" s="217" t="s">
        <v>552</v>
      </c>
      <c r="D40" s="508"/>
    </row>
    <row r="41" spans="1:5">
      <c r="A41" s="144">
        <f t="shared" si="0"/>
        <v>29</v>
      </c>
      <c r="B41" s="144">
        <v>1</v>
      </c>
      <c r="C41" s="217" t="s">
        <v>553</v>
      </c>
      <c r="D41" s="508"/>
    </row>
    <row r="42" spans="1:5">
      <c r="A42" s="144">
        <f t="shared" si="0"/>
        <v>30</v>
      </c>
      <c r="B42" s="144">
        <v>1</v>
      </c>
      <c r="C42" s="217" t="s">
        <v>554</v>
      </c>
      <c r="D42" s="508"/>
    </row>
    <row r="43" spans="1:5">
      <c r="A43" s="144">
        <f t="shared" si="0"/>
        <v>31</v>
      </c>
      <c r="B43" s="144">
        <v>1</v>
      </c>
      <c r="C43" s="217" t="s">
        <v>555</v>
      </c>
      <c r="D43" s="508"/>
    </row>
    <row r="44" spans="1:5">
      <c r="A44" s="144">
        <f t="shared" si="0"/>
        <v>32</v>
      </c>
      <c r="B44" s="144">
        <v>1</v>
      </c>
      <c r="C44" s="217" t="s">
        <v>556</v>
      </c>
      <c r="D44" s="508"/>
    </row>
    <row r="45" spans="1:5">
      <c r="A45" s="144">
        <f t="shared" si="0"/>
        <v>33</v>
      </c>
      <c r="B45" s="144">
        <v>1</v>
      </c>
      <c r="C45" s="217" t="s">
        <v>557</v>
      </c>
      <c r="D45" s="508"/>
      <c r="E45" s="354"/>
    </row>
    <row r="46" spans="1:5">
      <c r="A46" s="144">
        <f t="shared" si="0"/>
        <v>34</v>
      </c>
      <c r="B46" s="144">
        <v>1</v>
      </c>
      <c r="C46" s="217" t="s">
        <v>558</v>
      </c>
      <c r="D46" s="508"/>
    </row>
    <row r="47" spans="1:5">
      <c r="A47" s="144">
        <f t="shared" si="0"/>
        <v>35</v>
      </c>
      <c r="B47" s="144">
        <v>1</v>
      </c>
      <c r="C47" s="217" t="s">
        <v>559</v>
      </c>
      <c r="D47" s="508"/>
    </row>
    <row r="48" spans="1:5">
      <c r="A48" s="144">
        <f t="shared" si="0"/>
        <v>36</v>
      </c>
      <c r="B48" s="144">
        <v>1</v>
      </c>
      <c r="C48" s="217" t="s">
        <v>560</v>
      </c>
      <c r="D48" s="508"/>
    </row>
    <row r="49" spans="1:4">
      <c r="A49" s="144">
        <f t="shared" si="0"/>
        <v>37</v>
      </c>
      <c r="B49" s="144">
        <v>1</v>
      </c>
      <c r="C49" s="217" t="s">
        <v>561</v>
      </c>
      <c r="D49" s="508"/>
    </row>
    <row r="50" spans="1:4">
      <c r="A50" s="144">
        <f t="shared" si="0"/>
        <v>38</v>
      </c>
      <c r="B50" s="144">
        <v>1</v>
      </c>
      <c r="C50" s="217" t="s">
        <v>562</v>
      </c>
      <c r="D50" s="508"/>
    </row>
    <row r="51" spans="1:4">
      <c r="A51" s="144">
        <f t="shared" si="0"/>
        <v>39</v>
      </c>
      <c r="B51" s="144">
        <v>1</v>
      </c>
      <c r="C51" s="217" t="s">
        <v>563</v>
      </c>
      <c r="D51" s="508"/>
    </row>
    <row r="52" spans="1:4">
      <c r="A52" s="144">
        <f t="shared" si="0"/>
        <v>40</v>
      </c>
      <c r="B52" s="144">
        <v>1</v>
      </c>
      <c r="C52" s="217" t="s">
        <v>564</v>
      </c>
      <c r="D52" s="508"/>
    </row>
    <row r="53" spans="1:4">
      <c r="A53" s="144">
        <f t="shared" si="0"/>
        <v>41</v>
      </c>
      <c r="B53" s="144">
        <v>1</v>
      </c>
      <c r="C53" s="217" t="s">
        <v>565</v>
      </c>
      <c r="D53" s="508"/>
    </row>
    <row r="54" spans="1:4">
      <c r="A54" s="144">
        <f t="shared" si="0"/>
        <v>42</v>
      </c>
      <c r="B54" s="144">
        <v>1</v>
      </c>
      <c r="C54" s="217" t="s">
        <v>566</v>
      </c>
      <c r="D54" s="508"/>
    </row>
    <row r="55" spans="1:4">
      <c r="A55" s="144">
        <f t="shared" si="0"/>
        <v>43</v>
      </c>
      <c r="B55" s="144">
        <v>1</v>
      </c>
      <c r="C55" s="217" t="s">
        <v>567</v>
      </c>
      <c r="D55" s="508"/>
    </row>
    <row r="56" spans="1:4">
      <c r="A56" s="144">
        <f t="shared" si="0"/>
        <v>44</v>
      </c>
      <c r="B56" s="144">
        <v>1</v>
      </c>
      <c r="C56" s="217" t="s">
        <v>568</v>
      </c>
      <c r="D56" s="508"/>
    </row>
    <row r="57" spans="1:4">
      <c r="A57" s="144">
        <f t="shared" si="0"/>
        <v>45</v>
      </c>
      <c r="B57" s="144">
        <v>1</v>
      </c>
      <c r="C57" s="217" t="s">
        <v>569</v>
      </c>
      <c r="D57" s="508"/>
    </row>
    <row r="58" spans="1:4">
      <c r="A58" s="144">
        <f t="shared" si="0"/>
        <v>46</v>
      </c>
      <c r="B58" s="144">
        <v>1</v>
      </c>
      <c r="C58" s="217" t="s">
        <v>570</v>
      </c>
      <c r="D58" s="508"/>
    </row>
    <row r="59" spans="1:4">
      <c r="A59" s="144">
        <f t="shared" si="0"/>
        <v>47</v>
      </c>
      <c r="B59" s="144">
        <v>1</v>
      </c>
      <c r="C59" s="217" t="s">
        <v>571</v>
      </c>
      <c r="D59" s="508"/>
    </row>
    <row r="60" spans="1:4">
      <c r="A60" s="144">
        <f t="shared" si="0"/>
        <v>48</v>
      </c>
      <c r="B60" s="144">
        <v>1</v>
      </c>
      <c r="C60" s="217" t="s">
        <v>572</v>
      </c>
      <c r="D60" s="508"/>
    </row>
    <row r="61" spans="1:4">
      <c r="A61" s="144">
        <f t="shared" si="0"/>
        <v>49</v>
      </c>
      <c r="B61" s="144">
        <v>1</v>
      </c>
      <c r="C61" s="217" t="s">
        <v>573</v>
      </c>
      <c r="D61" s="508"/>
    </row>
    <row r="62" spans="1:4">
      <c r="A62" s="144">
        <f t="shared" si="0"/>
        <v>50</v>
      </c>
      <c r="B62" s="144">
        <v>1</v>
      </c>
      <c r="C62" s="217" t="s">
        <v>574</v>
      </c>
      <c r="D62" s="508"/>
    </row>
    <row r="63" spans="1:4">
      <c r="A63" s="144">
        <f t="shared" si="0"/>
        <v>51</v>
      </c>
      <c r="B63" s="144">
        <v>1</v>
      </c>
      <c r="C63" s="217" t="s">
        <v>575</v>
      </c>
      <c r="D63" s="508"/>
    </row>
    <row r="64" spans="1:4">
      <c r="A64" s="144">
        <f t="shared" si="0"/>
        <v>52</v>
      </c>
      <c r="B64" s="144">
        <v>1</v>
      </c>
      <c r="C64" s="217" t="s">
        <v>576</v>
      </c>
      <c r="D64" s="508"/>
    </row>
    <row r="65" spans="1:7">
      <c r="A65" s="144">
        <f t="shared" si="0"/>
        <v>53</v>
      </c>
      <c r="B65" s="144">
        <v>1</v>
      </c>
      <c r="C65" s="217" t="s">
        <v>577</v>
      </c>
      <c r="D65" s="508"/>
    </row>
    <row r="66" spans="1:7">
      <c r="A66" s="144">
        <f t="shared" si="0"/>
        <v>54</v>
      </c>
      <c r="B66" s="144">
        <v>1</v>
      </c>
      <c r="C66" s="217" t="s">
        <v>578</v>
      </c>
      <c r="D66" s="508"/>
    </row>
    <row r="67" spans="1:7">
      <c r="A67" s="144">
        <f t="shared" si="0"/>
        <v>55</v>
      </c>
      <c r="B67" s="144">
        <v>1</v>
      </c>
      <c r="C67" s="217" t="s">
        <v>579</v>
      </c>
      <c r="D67" s="508"/>
    </row>
    <row r="68" spans="1:7">
      <c r="A68" s="144">
        <f t="shared" si="0"/>
        <v>56</v>
      </c>
      <c r="B68" s="144">
        <v>1</v>
      </c>
      <c r="C68" s="217" t="s">
        <v>580</v>
      </c>
      <c r="D68" s="508"/>
    </row>
    <row r="69" spans="1:7">
      <c r="A69" s="144">
        <f t="shared" si="0"/>
        <v>57</v>
      </c>
      <c r="B69" s="144">
        <v>1</v>
      </c>
      <c r="C69" s="217" t="s">
        <v>581</v>
      </c>
      <c r="D69" s="508"/>
    </row>
    <row r="70" spans="1:7">
      <c r="A70" s="144">
        <f t="shared" si="0"/>
        <v>58</v>
      </c>
      <c r="B70" s="144">
        <v>1</v>
      </c>
      <c r="C70" s="217" t="s">
        <v>582</v>
      </c>
      <c r="D70" s="508"/>
    </row>
    <row r="71" spans="1:7">
      <c r="A71" s="144">
        <f t="shared" si="0"/>
        <v>59</v>
      </c>
      <c r="B71" s="144">
        <v>1</v>
      </c>
      <c r="C71" s="217" t="s">
        <v>583</v>
      </c>
      <c r="D71" s="508"/>
    </row>
    <row r="72" spans="1:7">
      <c r="A72" s="144">
        <f t="shared" si="0"/>
        <v>60</v>
      </c>
      <c r="B72" s="144">
        <v>1</v>
      </c>
      <c r="C72" s="217" t="s">
        <v>584</v>
      </c>
      <c r="D72" s="508"/>
    </row>
    <row r="73" spans="1:7">
      <c r="A73" s="144">
        <f t="shared" si="0"/>
        <v>61</v>
      </c>
      <c r="B73" s="144">
        <v>1</v>
      </c>
      <c r="C73" s="217" t="s">
        <v>585</v>
      </c>
      <c r="D73" s="508"/>
    </row>
    <row r="74" spans="1:7">
      <c r="A74" s="144">
        <f t="shared" si="0"/>
        <v>62</v>
      </c>
      <c r="B74" s="144">
        <v>1</v>
      </c>
      <c r="C74" s="217" t="s">
        <v>586</v>
      </c>
      <c r="D74" s="508"/>
    </row>
    <row r="75" spans="1:7">
      <c r="A75" s="144">
        <f t="shared" si="0"/>
        <v>63</v>
      </c>
      <c r="B75" s="144">
        <v>1</v>
      </c>
      <c r="C75" s="217" t="s">
        <v>587</v>
      </c>
      <c r="D75" s="508"/>
    </row>
    <row r="76" spans="1:7">
      <c r="A76" s="144">
        <f t="shared" si="0"/>
        <v>64</v>
      </c>
      <c r="B76" s="144">
        <v>1</v>
      </c>
      <c r="C76" s="217" t="s">
        <v>588</v>
      </c>
      <c r="D76" s="508"/>
    </row>
    <row r="77" spans="1:7">
      <c r="A77" s="144">
        <f t="shared" si="0"/>
        <v>65</v>
      </c>
      <c r="B77" s="144">
        <v>1</v>
      </c>
      <c r="C77" s="217" t="s">
        <v>589</v>
      </c>
      <c r="D77" s="508"/>
    </row>
    <row r="78" spans="1:7">
      <c r="A78" s="144">
        <f t="shared" si="0"/>
        <v>66</v>
      </c>
      <c r="B78" s="144">
        <v>1</v>
      </c>
      <c r="C78" s="217" t="s">
        <v>590</v>
      </c>
      <c r="D78" s="508"/>
    </row>
    <row r="79" spans="1:7">
      <c r="A79" s="144">
        <f t="shared" si="0"/>
        <v>67</v>
      </c>
      <c r="B79" s="144">
        <v>1</v>
      </c>
      <c r="C79" s="217" t="s">
        <v>591</v>
      </c>
      <c r="D79" s="508"/>
    </row>
    <row r="80" spans="1:7" ht="125.4">
      <c r="A80" s="144">
        <f t="shared" si="0"/>
        <v>68</v>
      </c>
      <c r="B80" s="144">
        <v>3</v>
      </c>
      <c r="C80" s="217" t="s">
        <v>592</v>
      </c>
      <c r="D80" s="156" t="s">
        <v>593</v>
      </c>
      <c r="F80" s="338" t="s">
        <v>594</v>
      </c>
      <c r="G80" s="329" t="s">
        <v>167</v>
      </c>
    </row>
    <row r="81" spans="1:4">
      <c r="A81" s="144">
        <f t="shared" si="0"/>
        <v>71</v>
      </c>
      <c r="B81" s="144">
        <v>1</v>
      </c>
      <c r="C81" s="197" t="s">
        <v>595</v>
      </c>
      <c r="D81" s="197" t="s">
        <v>596</v>
      </c>
    </row>
    <row r="82" spans="1:4" ht="27.6">
      <c r="A82" s="144">
        <f t="shared" si="0"/>
        <v>72</v>
      </c>
      <c r="B82" s="144">
        <v>1</v>
      </c>
      <c r="C82" s="197" t="s">
        <v>597</v>
      </c>
      <c r="D82" s="225" t="s">
        <v>598</v>
      </c>
    </row>
    <row r="83" spans="1:4">
      <c r="A83" s="144">
        <f t="shared" si="0"/>
        <v>73</v>
      </c>
      <c r="B83" s="144">
        <v>1</v>
      </c>
      <c r="C83" s="197" t="s">
        <v>599</v>
      </c>
      <c r="D83" s="197" t="s">
        <v>596</v>
      </c>
    </row>
    <row r="84" spans="1:4" ht="27.6">
      <c r="A84" s="144">
        <f t="shared" si="0"/>
        <v>74</v>
      </c>
      <c r="B84" s="144">
        <v>1</v>
      </c>
      <c r="C84" s="197" t="s">
        <v>600</v>
      </c>
      <c r="D84" s="225" t="s">
        <v>598</v>
      </c>
    </row>
    <row r="85" spans="1:4">
      <c r="A85" s="144">
        <f t="shared" si="0"/>
        <v>75</v>
      </c>
      <c r="B85" s="144">
        <v>1</v>
      </c>
      <c r="C85" s="197" t="s">
        <v>601</v>
      </c>
      <c r="D85" s="197" t="s">
        <v>596</v>
      </c>
    </row>
    <row r="86" spans="1:4" ht="27.6">
      <c r="A86" s="144">
        <f t="shared" si="0"/>
        <v>76</v>
      </c>
      <c r="B86" s="144">
        <v>1</v>
      </c>
      <c r="C86" s="197" t="s">
        <v>224</v>
      </c>
      <c r="D86" s="225" t="s">
        <v>598</v>
      </c>
    </row>
    <row r="87" spans="1:4">
      <c r="A87" s="144">
        <f t="shared" si="0"/>
        <v>77</v>
      </c>
      <c r="B87" s="144">
        <v>1</v>
      </c>
      <c r="C87" s="197" t="s">
        <v>602</v>
      </c>
      <c r="D87" s="197" t="s">
        <v>596</v>
      </c>
    </row>
    <row r="88" spans="1:4" ht="27.6">
      <c r="A88" s="144">
        <f t="shared" si="0"/>
        <v>78</v>
      </c>
      <c r="B88" s="144">
        <v>1</v>
      </c>
      <c r="C88" s="197" t="s">
        <v>225</v>
      </c>
      <c r="D88" s="225" t="s">
        <v>598</v>
      </c>
    </row>
    <row r="89" spans="1:4">
      <c r="A89" s="144">
        <f t="shared" si="0"/>
        <v>79</v>
      </c>
      <c r="B89" s="144">
        <v>1</v>
      </c>
      <c r="C89" s="197" t="s">
        <v>603</v>
      </c>
      <c r="D89" s="197" t="s">
        <v>596</v>
      </c>
    </row>
    <row r="90" spans="1:4" ht="27.6">
      <c r="A90" s="144">
        <f t="shared" si="0"/>
        <v>80</v>
      </c>
      <c r="B90" s="144">
        <v>1</v>
      </c>
      <c r="C90" s="197" t="s">
        <v>226</v>
      </c>
      <c r="D90" s="225" t="s">
        <v>598</v>
      </c>
    </row>
    <row r="91" spans="1:4">
      <c r="A91" s="144">
        <f t="shared" si="0"/>
        <v>81</v>
      </c>
      <c r="B91" s="144">
        <v>1</v>
      </c>
      <c r="C91" s="197" t="s">
        <v>604</v>
      </c>
      <c r="D91" s="197" t="s">
        <v>596</v>
      </c>
    </row>
    <row r="92" spans="1:4" ht="27.6">
      <c r="A92" s="144">
        <f t="shared" si="0"/>
        <v>82</v>
      </c>
      <c r="B92" s="144">
        <v>1</v>
      </c>
      <c r="C92" s="197" t="s">
        <v>227</v>
      </c>
      <c r="D92" s="225" t="s">
        <v>598</v>
      </c>
    </row>
    <row r="93" spans="1:4">
      <c r="A93" s="144">
        <f t="shared" si="0"/>
        <v>83</v>
      </c>
      <c r="B93" s="144">
        <v>1</v>
      </c>
      <c r="C93" s="197" t="s">
        <v>605</v>
      </c>
      <c r="D93" s="197" t="s">
        <v>596</v>
      </c>
    </row>
    <row r="94" spans="1:4" ht="27.6">
      <c r="A94" s="144">
        <f t="shared" si="0"/>
        <v>84</v>
      </c>
      <c r="B94" s="144">
        <v>1</v>
      </c>
      <c r="C94" s="197" t="s">
        <v>228</v>
      </c>
      <c r="D94" s="225" t="s">
        <v>598</v>
      </c>
    </row>
    <row r="95" spans="1:4">
      <c r="A95" s="144">
        <f t="shared" si="0"/>
        <v>85</v>
      </c>
      <c r="B95" s="144">
        <v>1</v>
      </c>
      <c r="C95" s="197" t="s">
        <v>606</v>
      </c>
      <c r="D95" s="197" t="s">
        <v>596</v>
      </c>
    </row>
    <row r="96" spans="1:4" ht="27.6">
      <c r="A96" s="144">
        <f t="shared" si="0"/>
        <v>86</v>
      </c>
      <c r="B96" s="144">
        <v>1</v>
      </c>
      <c r="C96" s="197" t="s">
        <v>229</v>
      </c>
      <c r="D96" s="225" t="s">
        <v>598</v>
      </c>
    </row>
    <row r="97" spans="1:7">
      <c r="A97" s="144">
        <f t="shared" si="0"/>
        <v>87</v>
      </c>
      <c r="B97" s="144">
        <v>1</v>
      </c>
      <c r="C97" s="197" t="s">
        <v>607</v>
      </c>
      <c r="D97" s="197" t="s">
        <v>596</v>
      </c>
    </row>
    <row r="98" spans="1:7" ht="13.8">
      <c r="A98" s="144">
        <f t="shared" si="0"/>
        <v>88</v>
      </c>
      <c r="B98" s="144">
        <v>1</v>
      </c>
      <c r="C98" s="197" t="s">
        <v>608</v>
      </c>
      <c r="D98" s="225"/>
    </row>
    <row r="99" spans="1:7">
      <c r="A99" s="144">
        <f t="shared" si="0"/>
        <v>89</v>
      </c>
      <c r="B99" s="144">
        <v>1</v>
      </c>
      <c r="C99" s="197" t="s">
        <v>608</v>
      </c>
      <c r="D99" s="197"/>
    </row>
    <row r="100" spans="1:7" ht="27.6">
      <c r="A100" s="144">
        <f t="shared" si="0"/>
        <v>90</v>
      </c>
      <c r="B100" s="144">
        <v>1</v>
      </c>
      <c r="C100" s="197" t="s">
        <v>609</v>
      </c>
      <c r="D100" s="225" t="s">
        <v>598</v>
      </c>
    </row>
    <row r="101" spans="1:7">
      <c r="A101" s="144">
        <f t="shared" si="0"/>
        <v>91</v>
      </c>
      <c r="B101" s="144">
        <v>1</v>
      </c>
      <c r="C101" s="197" t="s">
        <v>610</v>
      </c>
      <c r="D101" s="197" t="s">
        <v>596</v>
      </c>
    </row>
    <row r="102" spans="1:7" ht="27.6">
      <c r="A102" s="144">
        <f t="shared" si="0"/>
        <v>92</v>
      </c>
      <c r="B102" s="144">
        <v>1</v>
      </c>
      <c r="C102" s="197" t="s">
        <v>230</v>
      </c>
      <c r="D102" s="225" t="s">
        <v>598</v>
      </c>
    </row>
    <row r="103" spans="1:7">
      <c r="A103" s="144">
        <f t="shared" si="0"/>
        <v>93</v>
      </c>
      <c r="B103" s="144">
        <v>1</v>
      </c>
      <c r="C103" s="197" t="s">
        <v>611</v>
      </c>
      <c r="D103" s="197" t="s">
        <v>596</v>
      </c>
    </row>
    <row r="104" spans="1:7" ht="27.6">
      <c r="A104" s="144">
        <f t="shared" si="0"/>
        <v>94</v>
      </c>
      <c r="B104" s="144">
        <v>1</v>
      </c>
      <c r="C104" s="197" t="s">
        <v>231</v>
      </c>
      <c r="D104" s="225" t="s">
        <v>598</v>
      </c>
    </row>
    <row r="105" spans="1:7">
      <c r="A105" s="144">
        <f t="shared" si="0"/>
        <v>95</v>
      </c>
      <c r="B105" s="144">
        <v>1</v>
      </c>
      <c r="C105" s="197" t="s">
        <v>612</v>
      </c>
      <c r="D105" s="197" t="s">
        <v>596</v>
      </c>
    </row>
    <row r="106" spans="1:7" ht="12.75" customHeight="1">
      <c r="A106" s="144">
        <f t="shared" si="0"/>
        <v>96</v>
      </c>
      <c r="B106" s="144">
        <v>3</v>
      </c>
      <c r="C106" s="226" t="s">
        <v>613</v>
      </c>
      <c r="D106" s="509" t="s">
        <v>614</v>
      </c>
      <c r="F106" s="317" t="s">
        <v>615</v>
      </c>
      <c r="G106" s="329" t="s">
        <v>167</v>
      </c>
    </row>
    <row r="107" spans="1:7">
      <c r="A107" s="144">
        <f t="shared" si="0"/>
        <v>99</v>
      </c>
      <c r="B107" s="144">
        <v>1</v>
      </c>
      <c r="C107" s="197" t="s">
        <v>616</v>
      </c>
      <c r="D107" s="509"/>
    </row>
    <row r="108" spans="1:7">
      <c r="A108" s="144">
        <f t="shared" si="0"/>
        <v>100</v>
      </c>
      <c r="B108" s="144">
        <v>2</v>
      </c>
      <c r="C108" s="197" t="s">
        <v>146</v>
      </c>
      <c r="D108" s="156" t="s">
        <v>617</v>
      </c>
    </row>
    <row r="109" spans="1:7">
      <c r="A109" s="144">
        <f t="shared" si="0"/>
        <v>102</v>
      </c>
      <c r="B109" s="144">
        <v>1</v>
      </c>
      <c r="C109" s="197" t="s">
        <v>618</v>
      </c>
      <c r="D109" s="197" t="s">
        <v>596</v>
      </c>
    </row>
    <row r="110" spans="1:7" ht="27.6">
      <c r="A110" s="144">
        <f t="shared" si="0"/>
        <v>103</v>
      </c>
      <c r="B110" s="144">
        <v>1</v>
      </c>
      <c r="C110" s="226" t="s">
        <v>173</v>
      </c>
      <c r="D110" s="225" t="s">
        <v>598</v>
      </c>
    </row>
    <row r="111" spans="1:7">
      <c r="A111" s="144">
        <f t="shared" si="0"/>
        <v>104</v>
      </c>
      <c r="B111" s="144">
        <v>1</v>
      </c>
      <c r="C111" s="197" t="s">
        <v>619</v>
      </c>
      <c r="D111" s="197" t="s">
        <v>596</v>
      </c>
    </row>
    <row r="112" spans="1:7" ht="27.6">
      <c r="A112" s="144">
        <f t="shared" si="0"/>
        <v>105</v>
      </c>
      <c r="B112" s="144">
        <v>1</v>
      </c>
      <c r="C112" s="226" t="s">
        <v>177</v>
      </c>
      <c r="D112" s="225" t="s">
        <v>598</v>
      </c>
    </row>
    <row r="113" spans="1:7">
      <c r="A113" s="144">
        <f t="shared" si="0"/>
        <v>106</v>
      </c>
      <c r="B113" s="144">
        <v>1</v>
      </c>
      <c r="C113" s="197" t="s">
        <v>620</v>
      </c>
      <c r="D113" s="197" t="s">
        <v>596</v>
      </c>
    </row>
    <row r="114" spans="1:7">
      <c r="A114" s="144">
        <f t="shared" si="0"/>
        <v>107</v>
      </c>
      <c r="B114" s="144">
        <v>1</v>
      </c>
      <c r="C114" s="226" t="s">
        <v>621</v>
      </c>
      <c r="D114" s="197" t="s">
        <v>596</v>
      </c>
    </row>
    <row r="115" spans="1:7">
      <c r="A115" s="144">
        <f t="shared" si="0"/>
        <v>108</v>
      </c>
      <c r="B115" s="144">
        <v>1</v>
      </c>
      <c r="C115" s="197" t="s">
        <v>622</v>
      </c>
      <c r="D115" s="197" t="s">
        <v>623</v>
      </c>
    </row>
    <row r="116" spans="1:7" ht="41.4">
      <c r="A116" s="144">
        <f t="shared" si="0"/>
        <v>109</v>
      </c>
      <c r="B116" s="144">
        <v>1</v>
      </c>
      <c r="C116" s="226" t="s">
        <v>624</v>
      </c>
      <c r="D116" s="225" t="s">
        <v>625</v>
      </c>
    </row>
    <row r="117" spans="1:7">
      <c r="A117" s="144">
        <f t="shared" si="0"/>
        <v>110</v>
      </c>
      <c r="B117" s="144">
        <v>2</v>
      </c>
      <c r="C117" s="197" t="s">
        <v>626</v>
      </c>
      <c r="D117" s="197" t="s">
        <v>627</v>
      </c>
    </row>
    <row r="118" spans="1:7" ht="110.4">
      <c r="A118" s="144">
        <f t="shared" si="0"/>
        <v>112</v>
      </c>
      <c r="B118" s="144">
        <v>1</v>
      </c>
      <c r="C118" s="226" t="s">
        <v>628</v>
      </c>
      <c r="D118" s="225" t="s">
        <v>629</v>
      </c>
    </row>
    <row r="119" spans="1:7">
      <c r="A119" s="144">
        <f t="shared" si="0"/>
        <v>113</v>
      </c>
      <c r="B119" s="144">
        <v>1</v>
      </c>
      <c r="C119" s="197" t="s">
        <v>608</v>
      </c>
      <c r="D119" s="197"/>
    </row>
    <row r="120" spans="1:7" ht="13.8">
      <c r="A120" s="144">
        <f t="shared" si="0"/>
        <v>114</v>
      </c>
      <c r="B120" s="144">
        <v>1</v>
      </c>
      <c r="C120" s="197" t="s">
        <v>608</v>
      </c>
      <c r="D120" s="225"/>
    </row>
    <row r="121" spans="1:7">
      <c r="A121" s="144">
        <f t="shared" si="0"/>
        <v>115</v>
      </c>
      <c r="B121" s="144">
        <v>1</v>
      </c>
      <c r="C121" s="197" t="s">
        <v>630</v>
      </c>
      <c r="D121" s="197" t="s">
        <v>631</v>
      </c>
    </row>
    <row r="122" spans="1:7" ht="13.8">
      <c r="A122" s="144">
        <f t="shared" si="0"/>
        <v>116</v>
      </c>
      <c r="B122" s="144">
        <v>2</v>
      </c>
      <c r="C122" s="197" t="s">
        <v>632</v>
      </c>
      <c r="D122" s="225" t="s">
        <v>633</v>
      </c>
      <c r="F122" s="317" t="s">
        <v>634</v>
      </c>
      <c r="G122" s="329" t="s">
        <v>167</v>
      </c>
    </row>
    <row r="123" spans="1:7">
      <c r="A123" s="144">
        <f t="shared" si="0"/>
        <v>118</v>
      </c>
      <c r="B123" s="144">
        <v>1</v>
      </c>
      <c r="C123" s="197" t="s">
        <v>635</v>
      </c>
      <c r="D123" s="197" t="s">
        <v>596</v>
      </c>
    </row>
    <row r="124" spans="1:7" ht="107.25" customHeight="1">
      <c r="A124" s="144">
        <f t="shared" si="0"/>
        <v>119</v>
      </c>
      <c r="B124" s="144">
        <v>8</v>
      </c>
      <c r="C124" s="197" t="s">
        <v>636</v>
      </c>
      <c r="D124" s="226" t="s">
        <v>637</v>
      </c>
    </row>
    <row r="125" spans="1:7">
      <c r="A125" s="144">
        <f t="shared" si="0"/>
        <v>127</v>
      </c>
      <c r="B125" s="144">
        <v>1</v>
      </c>
      <c r="C125" s="197" t="s">
        <v>638</v>
      </c>
      <c r="D125" s="197" t="s">
        <v>596</v>
      </c>
    </row>
    <row r="126" spans="1:7" ht="79.2">
      <c r="A126" s="144">
        <f t="shared" si="0"/>
        <v>128</v>
      </c>
      <c r="B126" s="144">
        <v>6</v>
      </c>
      <c r="C126" s="197" t="s">
        <v>639</v>
      </c>
      <c r="D126" s="226" t="s">
        <v>640</v>
      </c>
    </row>
    <row r="127" spans="1:7">
      <c r="A127" s="144">
        <f t="shared" si="0"/>
        <v>134</v>
      </c>
      <c r="B127" s="144">
        <v>1</v>
      </c>
      <c r="C127" s="197" t="s">
        <v>641</v>
      </c>
      <c r="D127" s="197" t="s">
        <v>596</v>
      </c>
    </row>
    <row r="128" spans="1:7">
      <c r="A128" s="144">
        <f t="shared" si="0"/>
        <v>135</v>
      </c>
      <c r="B128" s="144">
        <v>3</v>
      </c>
      <c r="C128" s="226" t="s">
        <v>642</v>
      </c>
      <c r="D128" s="509" t="s">
        <v>614</v>
      </c>
      <c r="F128" s="317" t="s">
        <v>615</v>
      </c>
      <c r="G128" s="329" t="s">
        <v>167</v>
      </c>
    </row>
    <row r="129" spans="1:4">
      <c r="A129" s="144">
        <f t="shared" si="0"/>
        <v>138</v>
      </c>
      <c r="B129" s="144">
        <v>1</v>
      </c>
      <c r="C129" s="197" t="s">
        <v>643</v>
      </c>
      <c r="D129" s="509"/>
    </row>
    <row r="130" spans="1:4" ht="22.8">
      <c r="A130" s="144">
        <f t="shared" si="0"/>
        <v>139</v>
      </c>
      <c r="B130" s="144">
        <v>4</v>
      </c>
      <c r="C130" s="144" t="s">
        <v>129</v>
      </c>
      <c r="D130" s="156" t="s">
        <v>130</v>
      </c>
    </row>
    <row r="131" spans="1:4">
      <c r="A131" s="144">
        <f t="shared" si="0"/>
        <v>143</v>
      </c>
      <c r="B131" s="144">
        <v>1</v>
      </c>
      <c r="C131" s="144" t="s">
        <v>131</v>
      </c>
      <c r="D131" s="156" t="s">
        <v>132</v>
      </c>
    </row>
    <row r="132" spans="1:4">
      <c r="A132" s="144">
        <f t="shared" si="0"/>
        <v>144</v>
      </c>
      <c r="B132" s="157" t="s">
        <v>486</v>
      </c>
    </row>
  </sheetData>
  <mergeCells count="6">
    <mergeCell ref="A2:E2"/>
    <mergeCell ref="A4:E4"/>
    <mergeCell ref="D21:D79"/>
    <mergeCell ref="D106:D107"/>
    <mergeCell ref="D128:D129"/>
    <mergeCell ref="A6:E10"/>
  </mergeCells>
  <pageMargins left="0.75" right="0.75" top="1" bottom="1" header="0.51111111111111096" footer="0.51111111111111096"/>
  <pageSetup orientation="portrait" horizontalDpi="300" verticalDpi="300"/>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5"/>
  <sheetViews>
    <sheetView workbookViewId="0">
      <selection activeCell="A6" sqref="A6:E10"/>
    </sheetView>
  </sheetViews>
  <sheetFormatPr defaultColWidth="9.109375" defaultRowHeight="13.2"/>
  <cols>
    <col min="1" max="1" width="24.6640625" style="336" customWidth="1"/>
    <col min="2" max="2" width="17.6640625" style="336" customWidth="1"/>
    <col min="3" max="3" width="26" style="337" customWidth="1"/>
    <col min="4" max="4" width="48.88671875" style="338" customWidth="1"/>
    <col min="5" max="5" width="40.21875" style="317" customWidth="1"/>
    <col min="6" max="6" width="33.77734375" style="317" customWidth="1"/>
    <col min="7" max="7" width="17" style="329" customWidth="1"/>
    <col min="8" max="8" width="4.5546875" style="317" customWidth="1"/>
    <col min="9" max="9" width="9.109375" style="317" customWidth="1"/>
    <col min="10" max="16384" width="9.109375" style="317"/>
  </cols>
  <sheetData>
    <row r="1" spans="1:7" ht="26.4">
      <c r="A1" s="321"/>
      <c r="B1" s="321"/>
      <c r="F1" s="318" t="s">
        <v>106</v>
      </c>
      <c r="G1" s="319" t="s">
        <v>107</v>
      </c>
    </row>
    <row r="2" spans="1:7" ht="15">
      <c r="A2" s="511" t="s">
        <v>54</v>
      </c>
      <c r="B2" s="511"/>
      <c r="C2" s="511"/>
      <c r="D2" s="511"/>
      <c r="E2" s="511"/>
    </row>
    <row r="4" spans="1:7" s="320" customFormat="1" ht="15">
      <c r="A4" s="511" t="s">
        <v>523</v>
      </c>
      <c r="B4" s="511"/>
      <c r="C4" s="511"/>
      <c r="D4" s="511"/>
      <c r="E4" s="511"/>
      <c r="G4" s="329"/>
    </row>
    <row r="5" spans="1:7" ht="15">
      <c r="A5" s="339"/>
      <c r="B5" s="339"/>
      <c r="D5" s="340"/>
    </row>
    <row r="6" spans="1:7" ht="15" customHeight="1">
      <c r="A6" s="514" t="s">
        <v>644</v>
      </c>
      <c r="B6" s="514"/>
      <c r="C6" s="514"/>
      <c r="D6" s="514"/>
      <c r="E6" s="514"/>
    </row>
    <row r="7" spans="1:7" ht="15" customHeight="1">
      <c r="A7" s="514"/>
      <c r="B7" s="514"/>
      <c r="C7" s="514"/>
      <c r="D7" s="514"/>
      <c r="E7" s="514"/>
    </row>
    <row r="8" spans="1:7" ht="15" customHeight="1">
      <c r="A8" s="514"/>
      <c r="B8" s="514"/>
      <c r="C8" s="514"/>
      <c r="D8" s="514"/>
      <c r="E8" s="514"/>
    </row>
    <row r="9" spans="1:7" ht="15" customHeight="1">
      <c r="A9" s="514"/>
      <c r="B9" s="514"/>
      <c r="C9" s="514"/>
      <c r="D9" s="514"/>
      <c r="E9" s="514"/>
    </row>
    <row r="10" spans="1:7" ht="73.05" customHeight="1">
      <c r="A10" s="514"/>
      <c r="B10" s="514"/>
      <c r="C10" s="514"/>
      <c r="D10" s="514"/>
      <c r="E10" s="514"/>
    </row>
    <row r="11" spans="1:7">
      <c r="A11" s="342"/>
      <c r="B11" s="342"/>
      <c r="C11" s="342"/>
      <c r="D11" s="342"/>
      <c r="E11" s="342"/>
    </row>
    <row r="13" spans="1:7" s="321" customFormat="1" ht="18" customHeight="1">
      <c r="A13" s="343" t="s">
        <v>110</v>
      </c>
      <c r="B13" s="343" t="s">
        <v>111</v>
      </c>
      <c r="C13" s="344" t="s">
        <v>112</v>
      </c>
      <c r="D13" s="345" t="s">
        <v>113</v>
      </c>
      <c r="G13" s="331"/>
    </row>
    <row r="14" spans="1:7">
      <c r="A14" s="336">
        <v>0</v>
      </c>
      <c r="B14" s="336">
        <v>1</v>
      </c>
      <c r="C14" s="337" t="s">
        <v>114</v>
      </c>
      <c r="D14" s="338" t="s">
        <v>115</v>
      </c>
    </row>
    <row r="15" spans="1:7">
      <c r="A15" s="336">
        <f t="shared" ref="A15:A78" si="0">A14+B14</f>
        <v>1</v>
      </c>
      <c r="B15" s="336">
        <v>1</v>
      </c>
      <c r="C15" s="337" t="s">
        <v>116</v>
      </c>
      <c r="D15" s="338" t="s">
        <v>117</v>
      </c>
    </row>
    <row r="16" spans="1:7">
      <c r="A16" s="336">
        <f t="shared" si="0"/>
        <v>2</v>
      </c>
      <c r="B16" s="336">
        <v>1</v>
      </c>
      <c r="C16" s="337" t="s">
        <v>525</v>
      </c>
      <c r="D16" s="338" t="s">
        <v>526</v>
      </c>
    </row>
    <row r="17" spans="1:5" ht="39.6">
      <c r="A17" s="336">
        <f t="shared" si="0"/>
        <v>3</v>
      </c>
      <c r="B17" s="336">
        <v>3</v>
      </c>
      <c r="C17" s="346" t="s">
        <v>120</v>
      </c>
      <c r="D17" s="341" t="str">
        <f>DEC2HEX(A135-5)</f>
        <v>8E</v>
      </c>
      <c r="E17" s="338"/>
    </row>
    <row r="18" spans="1:5">
      <c r="A18" s="336">
        <f t="shared" si="0"/>
        <v>6</v>
      </c>
      <c r="B18" s="336">
        <v>1</v>
      </c>
      <c r="C18" s="347" t="s">
        <v>527</v>
      </c>
      <c r="D18" s="341" t="s">
        <v>528</v>
      </c>
      <c r="E18" s="338"/>
    </row>
    <row r="19" spans="1:5">
      <c r="A19" s="336">
        <f t="shared" si="0"/>
        <v>7</v>
      </c>
      <c r="B19" s="336">
        <v>1</v>
      </c>
      <c r="C19" s="347" t="s">
        <v>116</v>
      </c>
      <c r="D19" s="341" t="s">
        <v>529</v>
      </c>
      <c r="E19" s="338"/>
    </row>
    <row r="20" spans="1:5" ht="129" customHeight="1">
      <c r="A20" s="336">
        <f t="shared" si="0"/>
        <v>8</v>
      </c>
      <c r="B20" s="336">
        <v>1</v>
      </c>
      <c r="C20" s="348" t="s">
        <v>530</v>
      </c>
      <c r="D20" s="338" t="s">
        <v>531</v>
      </c>
    </row>
    <row r="21" spans="1:5" ht="12.75" customHeight="1">
      <c r="A21" s="336">
        <f t="shared" si="0"/>
        <v>9</v>
      </c>
      <c r="B21" s="336">
        <v>1</v>
      </c>
      <c r="C21" s="348" t="s">
        <v>532</v>
      </c>
      <c r="D21" s="512" t="s">
        <v>533</v>
      </c>
    </row>
    <row r="22" spans="1:5">
      <c r="A22" s="336">
        <f t="shared" si="0"/>
        <v>10</v>
      </c>
      <c r="B22" s="336">
        <v>1</v>
      </c>
      <c r="C22" s="348" t="s">
        <v>534</v>
      </c>
      <c r="D22" s="512"/>
    </row>
    <row r="23" spans="1:5">
      <c r="A23" s="336">
        <f t="shared" si="0"/>
        <v>11</v>
      </c>
      <c r="B23" s="336">
        <v>1</v>
      </c>
      <c r="C23" s="348" t="s">
        <v>535</v>
      </c>
      <c r="D23" s="512"/>
    </row>
    <row r="24" spans="1:5">
      <c r="A24" s="336">
        <f t="shared" si="0"/>
        <v>12</v>
      </c>
      <c r="B24" s="336">
        <v>1</v>
      </c>
      <c r="C24" s="348" t="s">
        <v>536</v>
      </c>
      <c r="D24" s="512"/>
    </row>
    <row r="25" spans="1:5">
      <c r="A25" s="336">
        <f t="shared" si="0"/>
        <v>13</v>
      </c>
      <c r="B25" s="336">
        <v>1</v>
      </c>
      <c r="C25" s="348" t="s">
        <v>537</v>
      </c>
      <c r="D25" s="512"/>
    </row>
    <row r="26" spans="1:5">
      <c r="A26" s="336">
        <f t="shared" si="0"/>
        <v>14</v>
      </c>
      <c r="B26" s="336">
        <v>1</v>
      </c>
      <c r="C26" s="348" t="s">
        <v>538</v>
      </c>
      <c r="D26" s="512"/>
    </row>
    <row r="27" spans="1:5">
      <c r="A27" s="336">
        <f t="shared" si="0"/>
        <v>15</v>
      </c>
      <c r="B27" s="336">
        <v>1</v>
      </c>
      <c r="C27" s="348" t="s">
        <v>539</v>
      </c>
      <c r="D27" s="512"/>
    </row>
    <row r="28" spans="1:5">
      <c r="A28" s="336">
        <f t="shared" si="0"/>
        <v>16</v>
      </c>
      <c r="B28" s="336">
        <v>1</v>
      </c>
      <c r="C28" s="348" t="s">
        <v>540</v>
      </c>
      <c r="D28" s="512"/>
    </row>
    <row r="29" spans="1:5">
      <c r="A29" s="336">
        <f t="shared" si="0"/>
        <v>17</v>
      </c>
      <c r="B29" s="336">
        <v>1</v>
      </c>
      <c r="C29" s="348" t="s">
        <v>541</v>
      </c>
      <c r="D29" s="512"/>
    </row>
    <row r="30" spans="1:5">
      <c r="A30" s="336">
        <f t="shared" si="0"/>
        <v>18</v>
      </c>
      <c r="B30" s="336">
        <v>1</v>
      </c>
      <c r="C30" s="348" t="s">
        <v>542</v>
      </c>
      <c r="D30" s="512"/>
    </row>
    <row r="31" spans="1:5">
      <c r="A31" s="336">
        <f t="shared" si="0"/>
        <v>19</v>
      </c>
      <c r="B31" s="336">
        <v>1</v>
      </c>
      <c r="C31" s="348" t="s">
        <v>543</v>
      </c>
      <c r="D31" s="512"/>
    </row>
    <row r="32" spans="1:5">
      <c r="A32" s="336">
        <f t="shared" si="0"/>
        <v>20</v>
      </c>
      <c r="B32" s="336">
        <v>1</v>
      </c>
      <c r="C32" s="348" t="s">
        <v>544</v>
      </c>
      <c r="D32" s="512"/>
    </row>
    <row r="33" spans="1:5">
      <c r="A33" s="336">
        <f t="shared" si="0"/>
        <v>21</v>
      </c>
      <c r="B33" s="336">
        <v>1</v>
      </c>
      <c r="C33" s="348" t="s">
        <v>545</v>
      </c>
      <c r="D33" s="512"/>
    </row>
    <row r="34" spans="1:5">
      <c r="A34" s="336">
        <f t="shared" si="0"/>
        <v>22</v>
      </c>
      <c r="B34" s="336">
        <v>1</v>
      </c>
      <c r="C34" s="348" t="s">
        <v>546</v>
      </c>
      <c r="D34" s="512"/>
    </row>
    <row r="35" spans="1:5">
      <c r="A35" s="336">
        <f t="shared" si="0"/>
        <v>23</v>
      </c>
      <c r="B35" s="336">
        <v>1</v>
      </c>
      <c r="C35" s="348" t="s">
        <v>547</v>
      </c>
      <c r="D35" s="512"/>
    </row>
    <row r="36" spans="1:5">
      <c r="A36" s="336">
        <f t="shared" si="0"/>
        <v>24</v>
      </c>
      <c r="B36" s="336">
        <v>1</v>
      </c>
      <c r="C36" s="348" t="s">
        <v>548</v>
      </c>
      <c r="D36" s="512"/>
    </row>
    <row r="37" spans="1:5">
      <c r="A37" s="336">
        <f t="shared" si="0"/>
        <v>25</v>
      </c>
      <c r="B37" s="336">
        <v>1</v>
      </c>
      <c r="C37" s="348" t="s">
        <v>549</v>
      </c>
      <c r="D37" s="512"/>
    </row>
    <row r="38" spans="1:5">
      <c r="A38" s="336">
        <f t="shared" si="0"/>
        <v>26</v>
      </c>
      <c r="B38" s="336">
        <v>1</v>
      </c>
      <c r="C38" s="348" t="s">
        <v>550</v>
      </c>
      <c r="D38" s="512"/>
    </row>
    <row r="39" spans="1:5">
      <c r="A39" s="336">
        <f t="shared" si="0"/>
        <v>27</v>
      </c>
      <c r="B39" s="336">
        <v>1</v>
      </c>
      <c r="C39" s="348" t="s">
        <v>551</v>
      </c>
      <c r="D39" s="512"/>
    </row>
    <row r="40" spans="1:5">
      <c r="A40" s="336">
        <f t="shared" si="0"/>
        <v>28</v>
      </c>
      <c r="B40" s="336">
        <v>1</v>
      </c>
      <c r="C40" s="348" t="s">
        <v>552</v>
      </c>
      <c r="D40" s="512"/>
    </row>
    <row r="41" spans="1:5">
      <c r="A41" s="336">
        <f t="shared" si="0"/>
        <v>29</v>
      </c>
      <c r="B41" s="336">
        <v>1</v>
      </c>
      <c r="C41" s="348" t="s">
        <v>553</v>
      </c>
      <c r="D41" s="512"/>
    </row>
    <row r="42" spans="1:5">
      <c r="A42" s="336">
        <f t="shared" si="0"/>
        <v>30</v>
      </c>
      <c r="B42" s="336">
        <v>1</v>
      </c>
      <c r="C42" s="348" t="s">
        <v>554</v>
      </c>
      <c r="D42" s="512"/>
    </row>
    <row r="43" spans="1:5">
      <c r="A43" s="336">
        <f t="shared" si="0"/>
        <v>31</v>
      </c>
      <c r="B43" s="336">
        <v>1</v>
      </c>
      <c r="C43" s="348" t="s">
        <v>555</v>
      </c>
      <c r="D43" s="512"/>
    </row>
    <row r="44" spans="1:5">
      <c r="A44" s="336">
        <f t="shared" si="0"/>
        <v>32</v>
      </c>
      <c r="B44" s="336">
        <v>1</v>
      </c>
      <c r="C44" s="348" t="s">
        <v>556</v>
      </c>
      <c r="D44" s="512"/>
    </row>
    <row r="45" spans="1:5">
      <c r="A45" s="336">
        <f t="shared" si="0"/>
        <v>33</v>
      </c>
      <c r="B45" s="336">
        <v>1</v>
      </c>
      <c r="C45" s="348" t="s">
        <v>557</v>
      </c>
      <c r="D45" s="512"/>
      <c r="E45" s="349"/>
    </row>
    <row r="46" spans="1:5">
      <c r="A46" s="336">
        <f t="shared" si="0"/>
        <v>34</v>
      </c>
      <c r="B46" s="336">
        <v>1</v>
      </c>
      <c r="C46" s="348" t="s">
        <v>558</v>
      </c>
      <c r="D46" s="512"/>
    </row>
    <row r="47" spans="1:5">
      <c r="A47" s="336">
        <f t="shared" si="0"/>
        <v>35</v>
      </c>
      <c r="B47" s="336">
        <v>1</v>
      </c>
      <c r="C47" s="348" t="s">
        <v>559</v>
      </c>
      <c r="D47" s="512"/>
    </row>
    <row r="48" spans="1:5">
      <c r="A48" s="336">
        <f t="shared" si="0"/>
        <v>36</v>
      </c>
      <c r="B48" s="336">
        <v>1</v>
      </c>
      <c r="C48" s="348" t="s">
        <v>560</v>
      </c>
      <c r="D48" s="512"/>
    </row>
    <row r="49" spans="1:4">
      <c r="A49" s="336">
        <f t="shared" si="0"/>
        <v>37</v>
      </c>
      <c r="B49" s="336">
        <v>1</v>
      </c>
      <c r="C49" s="348" t="s">
        <v>561</v>
      </c>
      <c r="D49" s="512"/>
    </row>
    <row r="50" spans="1:4">
      <c r="A50" s="336">
        <f t="shared" si="0"/>
        <v>38</v>
      </c>
      <c r="B50" s="336">
        <v>1</v>
      </c>
      <c r="C50" s="348" t="s">
        <v>562</v>
      </c>
      <c r="D50" s="512"/>
    </row>
    <row r="51" spans="1:4">
      <c r="A51" s="336">
        <f t="shared" si="0"/>
        <v>39</v>
      </c>
      <c r="B51" s="336">
        <v>1</v>
      </c>
      <c r="C51" s="348" t="s">
        <v>563</v>
      </c>
      <c r="D51" s="512"/>
    </row>
    <row r="52" spans="1:4">
      <c r="A52" s="336">
        <f t="shared" si="0"/>
        <v>40</v>
      </c>
      <c r="B52" s="336">
        <v>1</v>
      </c>
      <c r="C52" s="348" t="s">
        <v>564</v>
      </c>
      <c r="D52" s="512"/>
    </row>
    <row r="53" spans="1:4">
      <c r="A53" s="336">
        <f t="shared" si="0"/>
        <v>41</v>
      </c>
      <c r="B53" s="336">
        <v>1</v>
      </c>
      <c r="C53" s="348" t="s">
        <v>565</v>
      </c>
      <c r="D53" s="512"/>
    </row>
    <row r="54" spans="1:4">
      <c r="A54" s="336">
        <f t="shared" si="0"/>
        <v>42</v>
      </c>
      <c r="B54" s="336">
        <v>1</v>
      </c>
      <c r="C54" s="348" t="s">
        <v>566</v>
      </c>
      <c r="D54" s="512"/>
    </row>
    <row r="55" spans="1:4">
      <c r="A55" s="336">
        <f t="shared" si="0"/>
        <v>43</v>
      </c>
      <c r="B55" s="336">
        <v>1</v>
      </c>
      <c r="C55" s="348" t="s">
        <v>567</v>
      </c>
      <c r="D55" s="512"/>
    </row>
    <row r="56" spans="1:4">
      <c r="A56" s="336">
        <f t="shared" si="0"/>
        <v>44</v>
      </c>
      <c r="B56" s="336">
        <v>1</v>
      </c>
      <c r="C56" s="348" t="s">
        <v>568</v>
      </c>
      <c r="D56" s="512"/>
    </row>
    <row r="57" spans="1:4">
      <c r="A57" s="336">
        <f t="shared" si="0"/>
        <v>45</v>
      </c>
      <c r="B57" s="336">
        <v>1</v>
      </c>
      <c r="C57" s="348" t="s">
        <v>569</v>
      </c>
      <c r="D57" s="512"/>
    </row>
    <row r="58" spans="1:4">
      <c r="A58" s="336">
        <f t="shared" si="0"/>
        <v>46</v>
      </c>
      <c r="B58" s="336">
        <v>1</v>
      </c>
      <c r="C58" s="348" t="s">
        <v>570</v>
      </c>
      <c r="D58" s="512"/>
    </row>
    <row r="59" spans="1:4">
      <c r="A59" s="336">
        <f t="shared" si="0"/>
        <v>47</v>
      </c>
      <c r="B59" s="336">
        <v>1</v>
      </c>
      <c r="C59" s="348" t="s">
        <v>571</v>
      </c>
      <c r="D59" s="512"/>
    </row>
    <row r="60" spans="1:4">
      <c r="A60" s="336">
        <f t="shared" si="0"/>
        <v>48</v>
      </c>
      <c r="B60" s="336">
        <v>1</v>
      </c>
      <c r="C60" s="348" t="s">
        <v>572</v>
      </c>
      <c r="D60" s="512"/>
    </row>
    <row r="61" spans="1:4">
      <c r="A61" s="336">
        <f t="shared" si="0"/>
        <v>49</v>
      </c>
      <c r="B61" s="336">
        <v>1</v>
      </c>
      <c r="C61" s="348" t="s">
        <v>573</v>
      </c>
      <c r="D61" s="512"/>
    </row>
    <row r="62" spans="1:4">
      <c r="A62" s="336">
        <f t="shared" si="0"/>
        <v>50</v>
      </c>
      <c r="B62" s="336">
        <v>1</v>
      </c>
      <c r="C62" s="348" t="s">
        <v>574</v>
      </c>
      <c r="D62" s="512"/>
    </row>
    <row r="63" spans="1:4">
      <c r="A63" s="336">
        <f t="shared" si="0"/>
        <v>51</v>
      </c>
      <c r="B63" s="336">
        <v>1</v>
      </c>
      <c r="C63" s="348" t="s">
        <v>575</v>
      </c>
      <c r="D63" s="512"/>
    </row>
    <row r="64" spans="1:4">
      <c r="A64" s="336">
        <f t="shared" si="0"/>
        <v>52</v>
      </c>
      <c r="B64" s="336">
        <v>1</v>
      </c>
      <c r="C64" s="348" t="s">
        <v>576</v>
      </c>
      <c r="D64" s="512"/>
    </row>
    <row r="65" spans="1:7">
      <c r="A65" s="336">
        <f t="shared" si="0"/>
        <v>53</v>
      </c>
      <c r="B65" s="336">
        <v>1</v>
      </c>
      <c r="C65" s="348" t="s">
        <v>577</v>
      </c>
      <c r="D65" s="512"/>
    </row>
    <row r="66" spans="1:7">
      <c r="A66" s="336">
        <f t="shared" si="0"/>
        <v>54</v>
      </c>
      <c r="B66" s="336">
        <v>1</v>
      </c>
      <c r="C66" s="348" t="s">
        <v>578</v>
      </c>
      <c r="D66" s="512"/>
    </row>
    <row r="67" spans="1:7">
      <c r="A67" s="336">
        <f t="shared" si="0"/>
        <v>55</v>
      </c>
      <c r="B67" s="336">
        <v>1</v>
      </c>
      <c r="C67" s="348" t="s">
        <v>579</v>
      </c>
      <c r="D67" s="512"/>
    </row>
    <row r="68" spans="1:7">
      <c r="A68" s="336">
        <f t="shared" si="0"/>
        <v>56</v>
      </c>
      <c r="B68" s="336">
        <v>1</v>
      </c>
      <c r="C68" s="348" t="s">
        <v>580</v>
      </c>
      <c r="D68" s="512"/>
    </row>
    <row r="69" spans="1:7">
      <c r="A69" s="336">
        <f t="shared" si="0"/>
        <v>57</v>
      </c>
      <c r="B69" s="336">
        <v>1</v>
      </c>
      <c r="C69" s="348" t="s">
        <v>581</v>
      </c>
      <c r="D69" s="512"/>
    </row>
    <row r="70" spans="1:7">
      <c r="A70" s="336">
        <f t="shared" si="0"/>
        <v>58</v>
      </c>
      <c r="B70" s="336">
        <v>1</v>
      </c>
      <c r="C70" s="348" t="s">
        <v>582</v>
      </c>
      <c r="D70" s="512"/>
    </row>
    <row r="71" spans="1:7">
      <c r="A71" s="336">
        <f t="shared" si="0"/>
        <v>59</v>
      </c>
      <c r="B71" s="336">
        <v>1</v>
      </c>
      <c r="C71" s="348" t="s">
        <v>583</v>
      </c>
      <c r="D71" s="512"/>
    </row>
    <row r="72" spans="1:7">
      <c r="A72" s="336">
        <f t="shared" si="0"/>
        <v>60</v>
      </c>
      <c r="B72" s="336">
        <v>1</v>
      </c>
      <c r="C72" s="348" t="s">
        <v>584</v>
      </c>
      <c r="D72" s="512"/>
    </row>
    <row r="73" spans="1:7">
      <c r="A73" s="336">
        <f t="shared" si="0"/>
        <v>61</v>
      </c>
      <c r="B73" s="336">
        <v>1</v>
      </c>
      <c r="C73" s="348" t="s">
        <v>585</v>
      </c>
      <c r="D73" s="512"/>
    </row>
    <row r="74" spans="1:7">
      <c r="A74" s="336">
        <f t="shared" si="0"/>
        <v>62</v>
      </c>
      <c r="B74" s="336">
        <v>1</v>
      </c>
      <c r="C74" s="348" t="s">
        <v>586</v>
      </c>
      <c r="D74" s="512"/>
    </row>
    <row r="75" spans="1:7">
      <c r="A75" s="336">
        <f t="shared" si="0"/>
        <v>63</v>
      </c>
      <c r="B75" s="336">
        <v>1</v>
      </c>
      <c r="C75" s="348" t="s">
        <v>587</v>
      </c>
      <c r="D75" s="512"/>
    </row>
    <row r="76" spans="1:7">
      <c r="A76" s="336">
        <f t="shared" si="0"/>
        <v>64</v>
      </c>
      <c r="B76" s="336">
        <v>1</v>
      </c>
      <c r="C76" s="348" t="s">
        <v>588</v>
      </c>
      <c r="D76" s="512"/>
    </row>
    <row r="77" spans="1:7">
      <c r="A77" s="336">
        <f t="shared" si="0"/>
        <v>65</v>
      </c>
      <c r="B77" s="336">
        <v>1</v>
      </c>
      <c r="C77" s="348" t="s">
        <v>589</v>
      </c>
      <c r="D77" s="512"/>
    </row>
    <row r="78" spans="1:7">
      <c r="A78" s="336">
        <f t="shared" si="0"/>
        <v>66</v>
      </c>
      <c r="B78" s="336">
        <v>1</v>
      </c>
      <c r="C78" s="348" t="s">
        <v>590</v>
      </c>
      <c r="D78" s="512"/>
    </row>
    <row r="79" spans="1:7">
      <c r="A79" s="336">
        <f t="shared" ref="A79:A135" si="1">A78+B78</f>
        <v>67</v>
      </c>
      <c r="B79" s="336">
        <v>1</v>
      </c>
      <c r="C79" s="348" t="s">
        <v>591</v>
      </c>
      <c r="D79" s="512"/>
    </row>
    <row r="80" spans="1:7" ht="125.4">
      <c r="A80" s="336">
        <f t="shared" si="1"/>
        <v>68</v>
      </c>
      <c r="B80" s="336">
        <v>3</v>
      </c>
      <c r="C80" s="348" t="s">
        <v>592</v>
      </c>
      <c r="D80" s="338" t="s">
        <v>593</v>
      </c>
      <c r="F80" s="338" t="s">
        <v>594</v>
      </c>
      <c r="G80" s="329" t="s">
        <v>167</v>
      </c>
    </row>
    <row r="81" spans="1:4">
      <c r="A81" s="336">
        <f t="shared" si="1"/>
        <v>71</v>
      </c>
      <c r="B81" s="336">
        <v>1</v>
      </c>
      <c r="C81" s="322" t="s">
        <v>595</v>
      </c>
      <c r="D81" s="322" t="s">
        <v>596</v>
      </c>
    </row>
    <row r="82" spans="1:4" ht="27.6">
      <c r="A82" s="336">
        <f t="shared" si="1"/>
        <v>72</v>
      </c>
      <c r="B82" s="336">
        <v>1</v>
      </c>
      <c r="C82" s="322" t="s">
        <v>597</v>
      </c>
      <c r="D82" s="350" t="s">
        <v>598</v>
      </c>
    </row>
    <row r="83" spans="1:4">
      <c r="A83" s="336">
        <f t="shared" si="1"/>
        <v>73</v>
      </c>
      <c r="B83" s="336">
        <v>1</v>
      </c>
      <c r="C83" s="322" t="s">
        <v>599</v>
      </c>
      <c r="D83" s="322" t="s">
        <v>596</v>
      </c>
    </row>
    <row r="84" spans="1:4" ht="27.6">
      <c r="A84" s="336">
        <f t="shared" si="1"/>
        <v>74</v>
      </c>
      <c r="B84" s="336">
        <v>1</v>
      </c>
      <c r="C84" s="322" t="s">
        <v>600</v>
      </c>
      <c r="D84" s="350" t="s">
        <v>598</v>
      </c>
    </row>
    <row r="85" spans="1:4">
      <c r="A85" s="336">
        <f t="shared" si="1"/>
        <v>75</v>
      </c>
      <c r="B85" s="336">
        <v>1</v>
      </c>
      <c r="C85" s="322" t="s">
        <v>601</v>
      </c>
      <c r="D85" s="322" t="s">
        <v>596</v>
      </c>
    </row>
    <row r="86" spans="1:4" ht="27.6">
      <c r="A86" s="336">
        <f t="shared" si="1"/>
        <v>76</v>
      </c>
      <c r="B86" s="336">
        <v>1</v>
      </c>
      <c r="C86" s="322" t="s">
        <v>224</v>
      </c>
      <c r="D86" s="350" t="s">
        <v>598</v>
      </c>
    </row>
    <row r="87" spans="1:4">
      <c r="A87" s="336">
        <f t="shared" si="1"/>
        <v>77</v>
      </c>
      <c r="B87" s="336">
        <v>1</v>
      </c>
      <c r="C87" s="322" t="s">
        <v>602</v>
      </c>
      <c r="D87" s="322" t="s">
        <v>596</v>
      </c>
    </row>
    <row r="88" spans="1:4" ht="27.6">
      <c r="A88" s="336">
        <f t="shared" si="1"/>
        <v>78</v>
      </c>
      <c r="B88" s="336">
        <v>1</v>
      </c>
      <c r="C88" s="322" t="s">
        <v>225</v>
      </c>
      <c r="D88" s="350" t="s">
        <v>598</v>
      </c>
    </row>
    <row r="89" spans="1:4">
      <c r="A89" s="336">
        <f t="shared" si="1"/>
        <v>79</v>
      </c>
      <c r="B89" s="336">
        <v>1</v>
      </c>
      <c r="C89" s="322" t="s">
        <v>603</v>
      </c>
      <c r="D89" s="322" t="s">
        <v>596</v>
      </c>
    </row>
    <row r="90" spans="1:4" ht="27.6">
      <c r="A90" s="336">
        <f t="shared" si="1"/>
        <v>80</v>
      </c>
      <c r="B90" s="336">
        <v>1</v>
      </c>
      <c r="C90" s="322" t="s">
        <v>226</v>
      </c>
      <c r="D90" s="350" t="s">
        <v>598</v>
      </c>
    </row>
    <row r="91" spans="1:4">
      <c r="A91" s="336">
        <f t="shared" si="1"/>
        <v>81</v>
      </c>
      <c r="B91" s="336">
        <v>1</v>
      </c>
      <c r="C91" s="322" t="s">
        <v>604</v>
      </c>
      <c r="D91" s="322" t="s">
        <v>596</v>
      </c>
    </row>
    <row r="92" spans="1:4" ht="27.6">
      <c r="A92" s="336">
        <f t="shared" si="1"/>
        <v>82</v>
      </c>
      <c r="B92" s="336">
        <v>1</v>
      </c>
      <c r="C92" s="322" t="s">
        <v>227</v>
      </c>
      <c r="D92" s="350" t="s">
        <v>598</v>
      </c>
    </row>
    <row r="93" spans="1:4">
      <c r="A93" s="336">
        <f t="shared" si="1"/>
        <v>83</v>
      </c>
      <c r="B93" s="336">
        <v>1</v>
      </c>
      <c r="C93" s="322" t="s">
        <v>605</v>
      </c>
      <c r="D93" s="322" t="s">
        <v>596</v>
      </c>
    </row>
    <row r="94" spans="1:4" ht="27.6">
      <c r="A94" s="336">
        <f t="shared" si="1"/>
        <v>84</v>
      </c>
      <c r="B94" s="336">
        <v>1</v>
      </c>
      <c r="C94" s="322" t="s">
        <v>228</v>
      </c>
      <c r="D94" s="350" t="s">
        <v>598</v>
      </c>
    </row>
    <row r="95" spans="1:4">
      <c r="A95" s="336">
        <f t="shared" si="1"/>
        <v>85</v>
      </c>
      <c r="B95" s="336">
        <v>1</v>
      </c>
      <c r="C95" s="322" t="s">
        <v>606</v>
      </c>
      <c r="D95" s="322" t="s">
        <v>596</v>
      </c>
    </row>
    <row r="96" spans="1:4" ht="27.6">
      <c r="A96" s="336">
        <f t="shared" si="1"/>
        <v>86</v>
      </c>
      <c r="B96" s="336">
        <v>1</v>
      </c>
      <c r="C96" s="322" t="s">
        <v>229</v>
      </c>
      <c r="D96" s="350" t="s">
        <v>598</v>
      </c>
    </row>
    <row r="97" spans="1:7">
      <c r="A97" s="336">
        <f t="shared" si="1"/>
        <v>87</v>
      </c>
      <c r="B97" s="336">
        <v>1</v>
      </c>
      <c r="C97" s="322" t="s">
        <v>607</v>
      </c>
      <c r="D97" s="322" t="s">
        <v>596</v>
      </c>
    </row>
    <row r="98" spans="1:7" ht="13.8">
      <c r="A98" s="336">
        <f t="shared" si="1"/>
        <v>88</v>
      </c>
      <c r="B98" s="336">
        <v>1</v>
      </c>
      <c r="C98" s="322" t="s">
        <v>608</v>
      </c>
      <c r="D98" s="350"/>
    </row>
    <row r="99" spans="1:7">
      <c r="A99" s="336">
        <f t="shared" si="1"/>
        <v>89</v>
      </c>
      <c r="B99" s="336">
        <v>1</v>
      </c>
      <c r="C99" s="322" t="s">
        <v>608</v>
      </c>
      <c r="D99" s="322"/>
    </row>
    <row r="100" spans="1:7" ht="27.6">
      <c r="A100" s="336">
        <f t="shared" si="1"/>
        <v>90</v>
      </c>
      <c r="B100" s="336">
        <v>1</v>
      </c>
      <c r="C100" s="322" t="s">
        <v>609</v>
      </c>
      <c r="D100" s="350" t="s">
        <v>598</v>
      </c>
    </row>
    <row r="101" spans="1:7">
      <c r="A101" s="336">
        <f t="shared" si="1"/>
        <v>91</v>
      </c>
      <c r="B101" s="336">
        <v>1</v>
      </c>
      <c r="C101" s="322" t="s">
        <v>610</v>
      </c>
      <c r="D101" s="322" t="s">
        <v>596</v>
      </c>
    </row>
    <row r="102" spans="1:7" ht="27.6">
      <c r="A102" s="336">
        <f t="shared" si="1"/>
        <v>92</v>
      </c>
      <c r="B102" s="336">
        <v>1</v>
      </c>
      <c r="C102" s="322" t="s">
        <v>230</v>
      </c>
      <c r="D102" s="350" t="s">
        <v>598</v>
      </c>
    </row>
    <row r="103" spans="1:7">
      <c r="A103" s="336">
        <f t="shared" si="1"/>
        <v>93</v>
      </c>
      <c r="B103" s="336">
        <v>1</v>
      </c>
      <c r="C103" s="322" t="s">
        <v>611</v>
      </c>
      <c r="D103" s="322" t="s">
        <v>596</v>
      </c>
    </row>
    <row r="104" spans="1:7" ht="27.6">
      <c r="A104" s="336">
        <f t="shared" si="1"/>
        <v>94</v>
      </c>
      <c r="B104" s="336">
        <v>1</v>
      </c>
      <c r="C104" s="322" t="s">
        <v>231</v>
      </c>
      <c r="D104" s="350" t="s">
        <v>598</v>
      </c>
    </row>
    <row r="105" spans="1:7">
      <c r="A105" s="336">
        <f t="shared" si="1"/>
        <v>95</v>
      </c>
      <c r="B105" s="336">
        <v>1</v>
      </c>
      <c r="C105" s="322" t="s">
        <v>612</v>
      </c>
      <c r="D105" s="322" t="s">
        <v>596</v>
      </c>
    </row>
    <row r="106" spans="1:7" ht="12.75" customHeight="1">
      <c r="A106" s="336">
        <f t="shared" si="1"/>
        <v>96</v>
      </c>
      <c r="B106" s="336">
        <v>3</v>
      </c>
      <c r="C106" s="351" t="s">
        <v>613</v>
      </c>
      <c r="D106" s="513" t="s">
        <v>614</v>
      </c>
      <c r="F106" s="317" t="s">
        <v>615</v>
      </c>
      <c r="G106" s="329" t="s">
        <v>167</v>
      </c>
    </row>
    <row r="107" spans="1:7">
      <c r="A107" s="336">
        <f t="shared" si="1"/>
        <v>99</v>
      </c>
      <c r="B107" s="336">
        <v>1</v>
      </c>
      <c r="C107" s="322" t="s">
        <v>616</v>
      </c>
      <c r="D107" s="513"/>
    </row>
    <row r="108" spans="1:7">
      <c r="A108" s="336">
        <f t="shared" si="1"/>
        <v>100</v>
      </c>
      <c r="B108" s="336">
        <v>2</v>
      </c>
      <c r="C108" s="322" t="s">
        <v>146</v>
      </c>
      <c r="D108" s="338" t="s">
        <v>617</v>
      </c>
    </row>
    <row r="109" spans="1:7">
      <c r="A109" s="336">
        <f t="shared" si="1"/>
        <v>102</v>
      </c>
      <c r="B109" s="336">
        <v>1</v>
      </c>
      <c r="C109" s="322" t="s">
        <v>618</v>
      </c>
      <c r="D109" s="322" t="s">
        <v>596</v>
      </c>
    </row>
    <row r="110" spans="1:7" ht="27.6">
      <c r="A110" s="336">
        <f t="shared" si="1"/>
        <v>103</v>
      </c>
      <c r="B110" s="336">
        <v>1</v>
      </c>
      <c r="C110" s="351" t="s">
        <v>173</v>
      </c>
      <c r="D110" s="350" t="s">
        <v>598</v>
      </c>
    </row>
    <row r="111" spans="1:7">
      <c r="A111" s="336">
        <f t="shared" si="1"/>
        <v>104</v>
      </c>
      <c r="B111" s="336">
        <v>1</v>
      </c>
      <c r="C111" s="322" t="s">
        <v>619</v>
      </c>
      <c r="D111" s="322" t="s">
        <v>596</v>
      </c>
    </row>
    <row r="112" spans="1:7" ht="27.6">
      <c r="A112" s="336">
        <f t="shared" si="1"/>
        <v>105</v>
      </c>
      <c r="B112" s="336">
        <v>1</v>
      </c>
      <c r="C112" s="351" t="s">
        <v>177</v>
      </c>
      <c r="D112" s="350" t="s">
        <v>598</v>
      </c>
    </row>
    <row r="113" spans="1:7">
      <c r="A113" s="336">
        <f t="shared" si="1"/>
        <v>106</v>
      </c>
      <c r="B113" s="336">
        <v>1</v>
      </c>
      <c r="C113" s="322" t="s">
        <v>620</v>
      </c>
      <c r="D113" s="322" t="s">
        <v>596</v>
      </c>
    </row>
    <row r="114" spans="1:7">
      <c r="A114" s="336">
        <f t="shared" si="1"/>
        <v>107</v>
      </c>
      <c r="B114" s="336">
        <v>1</v>
      </c>
      <c r="C114" s="351" t="s">
        <v>621</v>
      </c>
      <c r="D114" s="322" t="s">
        <v>596</v>
      </c>
    </row>
    <row r="115" spans="1:7">
      <c r="A115" s="336">
        <f t="shared" si="1"/>
        <v>108</v>
      </c>
      <c r="B115" s="336">
        <v>1</v>
      </c>
      <c r="C115" s="322" t="s">
        <v>622</v>
      </c>
      <c r="D115" s="322" t="s">
        <v>623</v>
      </c>
    </row>
    <row r="116" spans="1:7" ht="41.4">
      <c r="A116" s="336">
        <f t="shared" si="1"/>
        <v>109</v>
      </c>
      <c r="B116" s="336">
        <v>1</v>
      </c>
      <c r="C116" s="351" t="s">
        <v>624</v>
      </c>
      <c r="D116" s="350" t="s">
        <v>625</v>
      </c>
    </row>
    <row r="117" spans="1:7">
      <c r="A117" s="336">
        <f t="shared" si="1"/>
        <v>110</v>
      </c>
      <c r="B117" s="336">
        <v>2</v>
      </c>
      <c r="C117" s="322" t="s">
        <v>626</v>
      </c>
      <c r="D117" s="322" t="s">
        <v>627</v>
      </c>
    </row>
    <row r="118" spans="1:7" ht="110.4">
      <c r="A118" s="336">
        <f t="shared" si="1"/>
        <v>112</v>
      </c>
      <c r="B118" s="336">
        <v>1</v>
      </c>
      <c r="C118" s="351" t="s">
        <v>628</v>
      </c>
      <c r="D118" s="350" t="s">
        <v>629</v>
      </c>
    </row>
    <row r="119" spans="1:7">
      <c r="A119" s="336">
        <f t="shared" si="1"/>
        <v>113</v>
      </c>
      <c r="B119" s="336">
        <v>1</v>
      </c>
      <c r="C119" s="322" t="s">
        <v>608</v>
      </c>
      <c r="D119" s="322"/>
    </row>
    <row r="120" spans="1:7">
      <c r="A120" s="336">
        <f t="shared" si="1"/>
        <v>114</v>
      </c>
      <c r="B120" s="336">
        <v>1</v>
      </c>
      <c r="C120" s="322" t="s">
        <v>630</v>
      </c>
      <c r="D120" s="322" t="s">
        <v>631</v>
      </c>
    </row>
    <row r="121" spans="1:7" ht="13.8">
      <c r="A121" s="336">
        <f t="shared" si="1"/>
        <v>115</v>
      </c>
      <c r="B121" s="336">
        <v>2</v>
      </c>
      <c r="C121" s="322" t="s">
        <v>632</v>
      </c>
      <c r="D121" s="350" t="s">
        <v>633</v>
      </c>
      <c r="F121" s="317" t="s">
        <v>634</v>
      </c>
      <c r="G121" s="329" t="s">
        <v>167</v>
      </c>
    </row>
    <row r="122" spans="1:7">
      <c r="A122" s="336">
        <f t="shared" si="1"/>
        <v>117</v>
      </c>
      <c r="B122" s="336">
        <v>1</v>
      </c>
      <c r="C122" s="322" t="s">
        <v>635</v>
      </c>
      <c r="D122" s="322" t="s">
        <v>596</v>
      </c>
    </row>
    <row r="123" spans="1:7" ht="105.6">
      <c r="A123" s="336">
        <f t="shared" si="1"/>
        <v>118</v>
      </c>
      <c r="B123" s="336">
        <v>8</v>
      </c>
      <c r="C123" s="322" t="s">
        <v>636</v>
      </c>
      <c r="D123" s="351" t="s">
        <v>637</v>
      </c>
    </row>
    <row r="124" spans="1:7">
      <c r="A124" s="336">
        <f t="shared" si="1"/>
        <v>126</v>
      </c>
      <c r="B124" s="336">
        <v>1</v>
      </c>
      <c r="C124" s="322" t="s">
        <v>638</v>
      </c>
      <c r="D124" s="322" t="s">
        <v>596</v>
      </c>
    </row>
    <row r="125" spans="1:7" ht="79.2">
      <c r="A125" s="336">
        <f t="shared" si="1"/>
        <v>127</v>
      </c>
      <c r="B125" s="336">
        <v>6</v>
      </c>
      <c r="C125" s="322" t="s">
        <v>639</v>
      </c>
      <c r="D125" s="351" t="s">
        <v>640</v>
      </c>
    </row>
    <row r="126" spans="1:7">
      <c r="A126" s="336">
        <f t="shared" si="1"/>
        <v>133</v>
      </c>
      <c r="B126" s="336">
        <v>1</v>
      </c>
      <c r="C126" s="322" t="s">
        <v>641</v>
      </c>
      <c r="D126" s="322" t="s">
        <v>596</v>
      </c>
    </row>
    <row r="127" spans="1:7" ht="26.4">
      <c r="A127" s="336">
        <f t="shared" si="1"/>
        <v>134</v>
      </c>
      <c r="B127" s="336">
        <v>3</v>
      </c>
      <c r="C127" s="351" t="s">
        <v>642</v>
      </c>
      <c r="D127" s="352" t="s">
        <v>614</v>
      </c>
      <c r="F127" s="317" t="s">
        <v>615</v>
      </c>
      <c r="G127" s="329" t="s">
        <v>167</v>
      </c>
    </row>
    <row r="128" spans="1:7">
      <c r="A128" s="336">
        <f t="shared" si="1"/>
        <v>137</v>
      </c>
      <c r="B128" s="336">
        <v>1</v>
      </c>
      <c r="C128" s="322" t="s">
        <v>643</v>
      </c>
      <c r="D128" s="352"/>
    </row>
    <row r="129" spans="1:4" ht="27.6">
      <c r="A129" s="336">
        <f t="shared" si="1"/>
        <v>138</v>
      </c>
      <c r="B129" s="336">
        <v>1</v>
      </c>
      <c r="C129" s="322" t="s">
        <v>609</v>
      </c>
      <c r="D129" s="350" t="s">
        <v>598</v>
      </c>
    </row>
    <row r="130" spans="1:4">
      <c r="A130" s="336">
        <f t="shared" si="1"/>
        <v>139</v>
      </c>
      <c r="B130" s="336">
        <v>1</v>
      </c>
      <c r="C130" s="322" t="s">
        <v>610</v>
      </c>
      <c r="D130" s="322" t="s">
        <v>596</v>
      </c>
    </row>
    <row r="131" spans="1:4">
      <c r="A131" s="336">
        <f t="shared" si="1"/>
        <v>140</v>
      </c>
      <c r="B131" s="336">
        <v>1</v>
      </c>
      <c r="C131" s="322" t="s">
        <v>608</v>
      </c>
      <c r="D131" s="322"/>
    </row>
    <row r="132" spans="1:4">
      <c r="A132" s="336">
        <f t="shared" si="1"/>
        <v>141</v>
      </c>
      <c r="B132" s="336">
        <v>1</v>
      </c>
      <c r="C132" s="322" t="s">
        <v>608</v>
      </c>
      <c r="D132" s="322"/>
    </row>
    <row r="133" spans="1:4" ht="22.8">
      <c r="A133" s="336">
        <f t="shared" si="1"/>
        <v>142</v>
      </c>
      <c r="B133" s="336">
        <v>4</v>
      </c>
      <c r="C133" s="336" t="s">
        <v>129</v>
      </c>
      <c r="D133" s="338" t="s">
        <v>130</v>
      </c>
    </row>
    <row r="134" spans="1:4">
      <c r="A134" s="336">
        <f t="shared" si="1"/>
        <v>146</v>
      </c>
      <c r="B134" s="336">
        <v>1</v>
      </c>
      <c r="C134" s="336" t="s">
        <v>131</v>
      </c>
      <c r="D134" s="338" t="s">
        <v>132</v>
      </c>
    </row>
    <row r="135" spans="1:4">
      <c r="A135" s="336">
        <f t="shared" si="1"/>
        <v>147</v>
      </c>
      <c r="B135" s="353" t="s">
        <v>486</v>
      </c>
    </row>
  </sheetData>
  <mergeCells count="5">
    <mergeCell ref="A2:E2"/>
    <mergeCell ref="A4:E4"/>
    <mergeCell ref="D21:D79"/>
    <mergeCell ref="D106:D107"/>
    <mergeCell ref="A6:E10"/>
  </mergeCells>
  <pageMargins left="0.75" right="0.75" top="1" bottom="1" header="0.51111111111111096" footer="0.51111111111111096"/>
  <pageSetup orientation="portrait" horizontalDpi="300" verticalDpi="300"/>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7"/>
  <sheetViews>
    <sheetView topLeftCell="A105" zoomScale="85" zoomScaleNormal="85" workbookViewId="0">
      <selection activeCell="F17" sqref="F17"/>
    </sheetView>
  </sheetViews>
  <sheetFormatPr defaultColWidth="9.109375" defaultRowHeight="13.2"/>
  <cols>
    <col min="1" max="1" width="24.44140625" style="144" customWidth="1"/>
    <col min="2" max="2" width="17.6640625" style="144" customWidth="1"/>
    <col min="3" max="3" width="26" style="216" customWidth="1"/>
    <col min="4" max="4" width="28.5546875" style="156" customWidth="1"/>
    <col min="5" max="5" width="31.21875" style="146" customWidth="1"/>
    <col min="6" max="6" width="24.5546875" style="329" customWidth="1"/>
    <col min="7" max="7" width="17.5546875" style="317" customWidth="1"/>
    <col min="8" max="8" width="4.5546875" style="146" customWidth="1"/>
    <col min="9" max="9" width="9.109375" style="146" customWidth="1"/>
    <col min="10" max="16384" width="9.109375" style="146"/>
  </cols>
  <sheetData>
    <row r="1" spans="1:7" ht="26.4">
      <c r="A1" s="155"/>
      <c r="B1" s="155"/>
      <c r="F1" s="318" t="s">
        <v>106</v>
      </c>
      <c r="G1" s="319" t="s">
        <v>107</v>
      </c>
    </row>
    <row r="2" spans="1:7" ht="15">
      <c r="A2" s="505" t="s">
        <v>56</v>
      </c>
      <c r="B2" s="505"/>
      <c r="C2" s="505"/>
      <c r="D2" s="505"/>
      <c r="E2" s="505"/>
    </row>
    <row r="4" spans="1:7" s="196" customFormat="1" ht="15">
      <c r="A4" s="505" t="s">
        <v>523</v>
      </c>
      <c r="B4" s="505"/>
      <c r="C4" s="505"/>
      <c r="D4" s="505"/>
      <c r="E4" s="505"/>
      <c r="F4" s="329"/>
      <c r="G4" s="320"/>
    </row>
    <row r="5" spans="1:7" ht="15">
      <c r="A5" s="151"/>
      <c r="B5" s="151"/>
      <c r="D5" s="167"/>
    </row>
    <row r="6" spans="1:7" s="155" customFormat="1" ht="18" customHeight="1">
      <c r="A6" s="152" t="s">
        <v>110</v>
      </c>
      <c r="B6" s="152" t="s">
        <v>111</v>
      </c>
      <c r="C6" s="153" t="s">
        <v>112</v>
      </c>
      <c r="D6" s="154" t="s">
        <v>113</v>
      </c>
      <c r="F6" s="331"/>
      <c r="G6" s="321"/>
    </row>
    <row r="7" spans="1:7">
      <c r="A7" s="144">
        <v>0</v>
      </c>
      <c r="B7" s="144">
        <v>1</v>
      </c>
      <c r="C7" s="216" t="s">
        <v>114</v>
      </c>
      <c r="D7" s="156" t="s">
        <v>115</v>
      </c>
    </row>
    <row r="8" spans="1:7" ht="22.8">
      <c r="A8" s="144">
        <f t="shared" ref="A8:A117" si="0">A7+B7</f>
        <v>1</v>
      </c>
      <c r="B8" s="144">
        <v>1</v>
      </c>
      <c r="C8" s="216" t="s">
        <v>116</v>
      </c>
      <c r="D8" s="156" t="s">
        <v>117</v>
      </c>
    </row>
    <row r="9" spans="1:7">
      <c r="A9" s="144">
        <f t="shared" si="0"/>
        <v>2</v>
      </c>
      <c r="B9" s="144">
        <v>1</v>
      </c>
      <c r="C9" s="216" t="s">
        <v>525</v>
      </c>
      <c r="D9" s="156" t="s">
        <v>526</v>
      </c>
    </row>
    <row r="10" spans="1:7" ht="39.6">
      <c r="A10" s="144">
        <f t="shared" si="0"/>
        <v>3</v>
      </c>
      <c r="B10" s="144">
        <v>3</v>
      </c>
      <c r="C10" s="10" t="s">
        <v>120</v>
      </c>
      <c r="D10" s="14" t="str">
        <f>DEC2HEX(A117-5)</f>
        <v>4A9</v>
      </c>
      <c r="E10" s="156"/>
    </row>
    <row r="11" spans="1:7">
      <c r="A11" s="144">
        <f t="shared" si="0"/>
        <v>6</v>
      </c>
      <c r="B11" s="144">
        <v>1</v>
      </c>
      <c r="C11" s="224" t="s">
        <v>645</v>
      </c>
      <c r="D11" s="14" t="s">
        <v>646</v>
      </c>
      <c r="E11" s="156"/>
    </row>
    <row r="12" spans="1:7">
      <c r="A12" s="144">
        <f t="shared" si="0"/>
        <v>7</v>
      </c>
      <c r="B12" s="144">
        <v>1</v>
      </c>
      <c r="C12" s="224" t="s">
        <v>116</v>
      </c>
      <c r="D12" s="14" t="s">
        <v>647</v>
      </c>
      <c r="E12" s="156"/>
    </row>
    <row r="13" spans="1:7" s="197" customFormat="1">
      <c r="A13" s="144">
        <f t="shared" si="0"/>
        <v>8</v>
      </c>
      <c r="B13" s="200">
        <v>1</v>
      </c>
      <c r="C13" s="200" t="s">
        <v>648</v>
      </c>
      <c r="D13" s="200" t="s">
        <v>649</v>
      </c>
      <c r="F13" s="333"/>
      <c r="G13" s="322"/>
    </row>
    <row r="14" spans="1:7" s="197" customFormat="1">
      <c r="A14" s="144">
        <f t="shared" si="0"/>
        <v>9</v>
      </c>
      <c r="B14" s="200">
        <v>2</v>
      </c>
      <c r="C14" s="200" t="s">
        <v>650</v>
      </c>
      <c r="D14" s="200" t="s">
        <v>651</v>
      </c>
      <c r="F14" s="333"/>
      <c r="G14" s="322"/>
    </row>
    <row r="15" spans="1:7" s="197" customFormat="1" ht="237.6">
      <c r="A15" s="144">
        <f t="shared" si="0"/>
        <v>11</v>
      </c>
      <c r="B15" s="200">
        <v>2</v>
      </c>
      <c r="C15" s="200" t="s">
        <v>652</v>
      </c>
      <c r="D15" s="219" t="s">
        <v>653</v>
      </c>
      <c r="F15" s="333"/>
      <c r="G15" s="322"/>
    </row>
    <row r="16" spans="1:7" s="197" customFormat="1" ht="105.6">
      <c r="A16" s="144">
        <f t="shared" si="0"/>
        <v>13</v>
      </c>
      <c r="B16" s="200">
        <v>2</v>
      </c>
      <c r="C16" s="222" t="s">
        <v>654</v>
      </c>
      <c r="D16" s="219" t="s">
        <v>655</v>
      </c>
      <c r="F16" s="333"/>
      <c r="G16" s="322"/>
    </row>
    <row r="17" spans="1:7" s="197" customFormat="1" ht="105.6">
      <c r="A17" s="144">
        <f t="shared" si="0"/>
        <v>15</v>
      </c>
      <c r="B17" s="200">
        <v>2</v>
      </c>
      <c r="C17" s="222" t="s">
        <v>656</v>
      </c>
      <c r="D17" s="219" t="s">
        <v>657</v>
      </c>
      <c r="F17" s="333"/>
      <c r="G17" s="322"/>
    </row>
    <row r="18" spans="1:7" s="197" customFormat="1" ht="105.6">
      <c r="A18" s="144">
        <f t="shared" si="0"/>
        <v>17</v>
      </c>
      <c r="B18" s="200">
        <v>2</v>
      </c>
      <c r="C18" s="222" t="s">
        <v>658</v>
      </c>
      <c r="D18" s="219" t="s">
        <v>659</v>
      </c>
      <c r="F18" s="333"/>
      <c r="G18" s="322"/>
    </row>
    <row r="19" spans="1:7" s="197" customFormat="1" ht="105.6">
      <c r="A19" s="144">
        <f t="shared" si="0"/>
        <v>19</v>
      </c>
      <c r="B19" s="200">
        <v>2</v>
      </c>
      <c r="C19" s="222" t="s">
        <v>660</v>
      </c>
      <c r="D19" s="219" t="s">
        <v>661</v>
      </c>
      <c r="F19" s="333"/>
      <c r="G19" s="322"/>
    </row>
    <row r="20" spans="1:7" s="197" customFormat="1" ht="105.6">
      <c r="A20" s="144">
        <f t="shared" si="0"/>
        <v>21</v>
      </c>
      <c r="B20" s="200">
        <v>2</v>
      </c>
      <c r="C20" s="222" t="s">
        <v>662</v>
      </c>
      <c r="D20" s="219" t="s">
        <v>663</v>
      </c>
      <c r="F20" s="333"/>
      <c r="G20" s="322"/>
    </row>
    <row r="21" spans="1:7" s="197" customFormat="1" ht="105.6">
      <c r="A21" s="144">
        <f t="shared" si="0"/>
        <v>23</v>
      </c>
      <c r="B21" s="200">
        <v>2</v>
      </c>
      <c r="C21" s="222" t="s">
        <v>664</v>
      </c>
      <c r="D21" s="219" t="s">
        <v>665</v>
      </c>
      <c r="F21" s="333"/>
      <c r="G21" s="322"/>
    </row>
    <row r="22" spans="1:7" s="197" customFormat="1" ht="105.6">
      <c r="A22" s="144">
        <f t="shared" si="0"/>
        <v>25</v>
      </c>
      <c r="B22" s="200">
        <v>2</v>
      </c>
      <c r="C22" s="222" t="s">
        <v>666</v>
      </c>
      <c r="D22" s="219" t="s">
        <v>667</v>
      </c>
      <c r="F22" s="333"/>
      <c r="G22" s="322"/>
    </row>
    <row r="23" spans="1:7" s="197" customFormat="1">
      <c r="A23" s="144">
        <f t="shared" si="0"/>
        <v>27</v>
      </c>
      <c r="B23" s="200">
        <v>19</v>
      </c>
      <c r="C23" s="200" t="s">
        <v>532</v>
      </c>
      <c r="D23" s="219" t="s">
        <v>668</v>
      </c>
      <c r="F23" s="333"/>
      <c r="G23" s="322"/>
    </row>
    <row r="24" spans="1:7" s="197" customFormat="1">
      <c r="A24" s="144">
        <f t="shared" si="0"/>
        <v>46</v>
      </c>
      <c r="B24" s="200">
        <v>19</v>
      </c>
      <c r="C24" s="200" t="s">
        <v>534</v>
      </c>
      <c r="D24" s="219" t="s">
        <v>669</v>
      </c>
      <c r="F24" s="333"/>
      <c r="G24" s="322"/>
    </row>
    <row r="25" spans="1:7" s="197" customFormat="1">
      <c r="A25" s="144">
        <f t="shared" si="0"/>
        <v>65</v>
      </c>
      <c r="B25" s="200">
        <v>19</v>
      </c>
      <c r="C25" s="200" t="s">
        <v>535</v>
      </c>
      <c r="D25" s="219" t="s">
        <v>670</v>
      </c>
      <c r="F25" s="333"/>
      <c r="G25" s="322"/>
    </row>
    <row r="26" spans="1:7" s="197" customFormat="1">
      <c r="A26" s="144">
        <f t="shared" si="0"/>
        <v>84</v>
      </c>
      <c r="B26" s="200">
        <v>19</v>
      </c>
      <c r="C26" s="200" t="s">
        <v>536</v>
      </c>
      <c r="D26" s="219" t="s">
        <v>671</v>
      </c>
      <c r="F26" s="333"/>
      <c r="G26" s="322"/>
    </row>
    <row r="27" spans="1:7" s="197" customFormat="1">
      <c r="A27" s="144">
        <f t="shared" si="0"/>
        <v>103</v>
      </c>
      <c r="B27" s="200">
        <v>19</v>
      </c>
      <c r="C27" s="200" t="s">
        <v>537</v>
      </c>
      <c r="D27" s="219" t="s">
        <v>672</v>
      </c>
      <c r="F27" s="333"/>
      <c r="G27" s="322"/>
    </row>
    <row r="28" spans="1:7" s="197" customFormat="1">
      <c r="A28" s="144">
        <f t="shared" si="0"/>
        <v>122</v>
      </c>
      <c r="B28" s="200">
        <v>19</v>
      </c>
      <c r="C28" s="200" t="s">
        <v>538</v>
      </c>
      <c r="D28" s="219" t="s">
        <v>673</v>
      </c>
      <c r="F28" s="333"/>
      <c r="G28" s="322"/>
    </row>
    <row r="29" spans="1:7" s="197" customFormat="1">
      <c r="A29" s="144">
        <f t="shared" si="0"/>
        <v>141</v>
      </c>
      <c r="B29" s="200">
        <v>19</v>
      </c>
      <c r="C29" s="200" t="s">
        <v>539</v>
      </c>
      <c r="D29" s="219" t="s">
        <v>674</v>
      </c>
      <c r="F29" s="333"/>
      <c r="G29" s="322"/>
    </row>
    <row r="30" spans="1:7" s="197" customFormat="1">
      <c r="A30" s="144">
        <f t="shared" si="0"/>
        <v>160</v>
      </c>
      <c r="B30" s="200">
        <v>19</v>
      </c>
      <c r="C30" s="200" t="s">
        <v>540</v>
      </c>
      <c r="D30" s="219" t="s">
        <v>675</v>
      </c>
      <c r="F30" s="333"/>
      <c r="G30" s="322"/>
    </row>
    <row r="31" spans="1:7" s="197" customFormat="1">
      <c r="A31" s="144">
        <f t="shared" si="0"/>
        <v>179</v>
      </c>
      <c r="B31" s="200">
        <v>19</v>
      </c>
      <c r="C31" s="200" t="s">
        <v>541</v>
      </c>
      <c r="D31" s="219" t="s">
        <v>676</v>
      </c>
      <c r="F31" s="333"/>
      <c r="G31" s="322"/>
    </row>
    <row r="32" spans="1:7" s="197" customFormat="1">
      <c r="A32" s="144">
        <f t="shared" si="0"/>
        <v>198</v>
      </c>
      <c r="B32" s="200">
        <v>19</v>
      </c>
      <c r="C32" s="200" t="s">
        <v>542</v>
      </c>
      <c r="D32" s="219" t="s">
        <v>677</v>
      </c>
      <c r="F32" s="333"/>
      <c r="G32" s="322"/>
    </row>
    <row r="33" spans="1:7" s="197" customFormat="1">
      <c r="A33" s="144">
        <f t="shared" si="0"/>
        <v>217</v>
      </c>
      <c r="B33" s="200">
        <v>19</v>
      </c>
      <c r="C33" s="200" t="s">
        <v>543</v>
      </c>
      <c r="D33" s="219" t="s">
        <v>678</v>
      </c>
      <c r="F33" s="333"/>
      <c r="G33" s="322"/>
    </row>
    <row r="34" spans="1:7" s="197" customFormat="1">
      <c r="A34" s="144">
        <f t="shared" si="0"/>
        <v>236</v>
      </c>
      <c r="B34" s="200">
        <v>19</v>
      </c>
      <c r="C34" s="200" t="s">
        <v>544</v>
      </c>
      <c r="D34" s="219" t="s">
        <v>679</v>
      </c>
      <c r="F34" s="333"/>
      <c r="G34" s="322"/>
    </row>
    <row r="35" spans="1:7" s="197" customFormat="1">
      <c r="A35" s="144">
        <f t="shared" si="0"/>
        <v>255</v>
      </c>
      <c r="B35" s="200">
        <v>19</v>
      </c>
      <c r="C35" s="200" t="s">
        <v>545</v>
      </c>
      <c r="D35" s="219" t="s">
        <v>680</v>
      </c>
      <c r="F35" s="333"/>
      <c r="G35" s="322"/>
    </row>
    <row r="36" spans="1:7" s="197" customFormat="1">
      <c r="A36" s="144">
        <f t="shared" si="0"/>
        <v>274</v>
      </c>
      <c r="B36" s="200">
        <v>19</v>
      </c>
      <c r="C36" s="200" t="s">
        <v>546</v>
      </c>
      <c r="D36" s="219" t="s">
        <v>681</v>
      </c>
      <c r="F36" s="333"/>
      <c r="G36" s="322"/>
    </row>
    <row r="37" spans="1:7" s="197" customFormat="1">
      <c r="A37" s="144">
        <f t="shared" si="0"/>
        <v>293</v>
      </c>
      <c r="B37" s="200">
        <v>19</v>
      </c>
      <c r="C37" s="200" t="s">
        <v>547</v>
      </c>
      <c r="D37" s="219" t="s">
        <v>682</v>
      </c>
      <c r="F37" s="333"/>
      <c r="G37" s="322"/>
    </row>
    <row r="38" spans="1:7" s="197" customFormat="1">
      <c r="A38" s="144">
        <f t="shared" si="0"/>
        <v>312</v>
      </c>
      <c r="B38" s="200">
        <v>19</v>
      </c>
      <c r="C38" s="200" t="s">
        <v>548</v>
      </c>
      <c r="D38" s="219" t="s">
        <v>683</v>
      </c>
      <c r="F38" s="333"/>
      <c r="G38" s="322"/>
    </row>
    <row r="39" spans="1:7" s="197" customFormat="1">
      <c r="A39" s="144">
        <f t="shared" si="0"/>
        <v>331</v>
      </c>
      <c r="B39" s="200">
        <v>19</v>
      </c>
      <c r="C39" s="200" t="s">
        <v>549</v>
      </c>
      <c r="D39" s="219" t="s">
        <v>684</v>
      </c>
      <c r="F39" s="333"/>
      <c r="G39" s="322"/>
    </row>
    <row r="40" spans="1:7" s="197" customFormat="1">
      <c r="A40" s="144">
        <f t="shared" si="0"/>
        <v>350</v>
      </c>
      <c r="B40" s="200">
        <v>19</v>
      </c>
      <c r="C40" s="200" t="s">
        <v>550</v>
      </c>
      <c r="D40" s="219" t="s">
        <v>685</v>
      </c>
      <c r="F40" s="333"/>
      <c r="G40" s="322"/>
    </row>
    <row r="41" spans="1:7" s="197" customFormat="1">
      <c r="A41" s="144">
        <f t="shared" si="0"/>
        <v>369</v>
      </c>
      <c r="B41" s="200">
        <v>19</v>
      </c>
      <c r="C41" s="200" t="s">
        <v>551</v>
      </c>
      <c r="D41" s="219" t="s">
        <v>686</v>
      </c>
      <c r="F41" s="333"/>
      <c r="G41" s="322"/>
    </row>
    <row r="42" spans="1:7" s="197" customFormat="1">
      <c r="A42" s="144">
        <f t="shared" si="0"/>
        <v>388</v>
      </c>
      <c r="B42" s="200">
        <v>19</v>
      </c>
      <c r="C42" s="200" t="s">
        <v>552</v>
      </c>
      <c r="D42" s="219" t="s">
        <v>687</v>
      </c>
      <c r="F42" s="333"/>
      <c r="G42" s="322"/>
    </row>
    <row r="43" spans="1:7" s="197" customFormat="1">
      <c r="A43" s="144">
        <f t="shared" si="0"/>
        <v>407</v>
      </c>
      <c r="B43" s="200">
        <v>19</v>
      </c>
      <c r="C43" s="200" t="s">
        <v>553</v>
      </c>
      <c r="D43" s="219" t="s">
        <v>688</v>
      </c>
      <c r="F43" s="333"/>
      <c r="G43" s="322"/>
    </row>
    <row r="44" spans="1:7" s="197" customFormat="1">
      <c r="A44" s="144">
        <f t="shared" si="0"/>
        <v>426</v>
      </c>
      <c r="B44" s="200">
        <v>19</v>
      </c>
      <c r="C44" s="200" t="s">
        <v>554</v>
      </c>
      <c r="D44" s="219" t="s">
        <v>689</v>
      </c>
      <c r="F44" s="333"/>
      <c r="G44" s="322"/>
    </row>
    <row r="45" spans="1:7" s="197" customFormat="1">
      <c r="A45" s="144">
        <f t="shared" si="0"/>
        <v>445</v>
      </c>
      <c r="B45" s="200">
        <v>19</v>
      </c>
      <c r="C45" s="200" t="s">
        <v>555</v>
      </c>
      <c r="D45" s="219" t="s">
        <v>690</v>
      </c>
      <c r="F45" s="333"/>
      <c r="G45" s="322"/>
    </row>
    <row r="46" spans="1:7" s="197" customFormat="1">
      <c r="A46" s="144">
        <f t="shared" si="0"/>
        <v>464</v>
      </c>
      <c r="B46" s="200">
        <v>19</v>
      </c>
      <c r="C46" s="200" t="s">
        <v>556</v>
      </c>
      <c r="D46" s="219" t="s">
        <v>691</v>
      </c>
      <c r="F46" s="333"/>
      <c r="G46" s="322"/>
    </row>
    <row r="47" spans="1:7" s="197" customFormat="1">
      <c r="A47" s="144">
        <f t="shared" si="0"/>
        <v>483</v>
      </c>
      <c r="B47" s="200">
        <v>19</v>
      </c>
      <c r="C47" s="200" t="s">
        <v>557</v>
      </c>
      <c r="D47" s="219" t="s">
        <v>692</v>
      </c>
      <c r="F47" s="333"/>
      <c r="G47" s="322"/>
    </row>
    <row r="48" spans="1:7" s="197" customFormat="1">
      <c r="A48" s="144">
        <f t="shared" si="0"/>
        <v>502</v>
      </c>
      <c r="B48" s="200">
        <v>19</v>
      </c>
      <c r="C48" s="200" t="s">
        <v>558</v>
      </c>
      <c r="D48" s="219" t="s">
        <v>693</v>
      </c>
      <c r="F48" s="333"/>
      <c r="G48" s="322"/>
    </row>
    <row r="49" spans="1:7" s="197" customFormat="1">
      <c r="A49" s="144">
        <f t="shared" si="0"/>
        <v>521</v>
      </c>
      <c r="B49" s="200">
        <v>19</v>
      </c>
      <c r="C49" s="200" t="s">
        <v>559</v>
      </c>
      <c r="D49" s="219" t="s">
        <v>694</v>
      </c>
      <c r="F49" s="333"/>
      <c r="G49" s="322"/>
    </row>
    <row r="50" spans="1:7" s="197" customFormat="1">
      <c r="A50" s="144">
        <f t="shared" si="0"/>
        <v>540</v>
      </c>
      <c r="B50" s="200">
        <v>19</v>
      </c>
      <c r="C50" s="200" t="s">
        <v>560</v>
      </c>
      <c r="D50" s="219" t="s">
        <v>695</v>
      </c>
      <c r="F50" s="333"/>
      <c r="G50" s="322"/>
    </row>
    <row r="51" spans="1:7" s="197" customFormat="1">
      <c r="A51" s="144">
        <f t="shared" si="0"/>
        <v>559</v>
      </c>
      <c r="B51" s="200">
        <v>19</v>
      </c>
      <c r="C51" s="200" t="s">
        <v>561</v>
      </c>
      <c r="D51" s="219" t="s">
        <v>696</v>
      </c>
      <c r="F51" s="333"/>
      <c r="G51" s="322"/>
    </row>
    <row r="52" spans="1:7" s="197" customFormat="1">
      <c r="A52" s="144">
        <f t="shared" si="0"/>
        <v>578</v>
      </c>
      <c r="B52" s="200">
        <v>19</v>
      </c>
      <c r="C52" s="200" t="s">
        <v>562</v>
      </c>
      <c r="D52" s="219" t="s">
        <v>697</v>
      </c>
      <c r="F52" s="333"/>
      <c r="G52" s="322"/>
    </row>
    <row r="53" spans="1:7" s="197" customFormat="1">
      <c r="A53" s="144">
        <f t="shared" si="0"/>
        <v>597</v>
      </c>
      <c r="B53" s="200">
        <v>19</v>
      </c>
      <c r="C53" s="200" t="s">
        <v>563</v>
      </c>
      <c r="D53" s="219" t="s">
        <v>698</v>
      </c>
      <c r="F53" s="333"/>
      <c r="G53" s="322"/>
    </row>
    <row r="54" spans="1:7" s="197" customFormat="1">
      <c r="A54" s="144">
        <f t="shared" si="0"/>
        <v>616</v>
      </c>
      <c r="B54" s="200">
        <v>19</v>
      </c>
      <c r="C54" s="200" t="s">
        <v>564</v>
      </c>
      <c r="D54" s="219" t="s">
        <v>699</v>
      </c>
      <c r="F54" s="333"/>
      <c r="G54" s="322"/>
    </row>
    <row r="55" spans="1:7" s="197" customFormat="1">
      <c r="A55" s="144">
        <f t="shared" si="0"/>
        <v>635</v>
      </c>
      <c r="B55" s="200">
        <v>19</v>
      </c>
      <c r="C55" s="200" t="s">
        <v>565</v>
      </c>
      <c r="D55" s="219" t="s">
        <v>700</v>
      </c>
      <c r="F55" s="333"/>
      <c r="G55" s="322"/>
    </row>
    <row r="56" spans="1:7" s="197" customFormat="1">
      <c r="A56" s="144">
        <f t="shared" si="0"/>
        <v>654</v>
      </c>
      <c r="B56" s="200">
        <v>19</v>
      </c>
      <c r="C56" s="200" t="s">
        <v>566</v>
      </c>
      <c r="D56" s="219" t="s">
        <v>701</v>
      </c>
      <c r="F56" s="333"/>
      <c r="G56" s="322"/>
    </row>
    <row r="57" spans="1:7" s="197" customFormat="1">
      <c r="A57" s="144">
        <f t="shared" si="0"/>
        <v>673</v>
      </c>
      <c r="B57" s="200">
        <v>19</v>
      </c>
      <c r="C57" s="200" t="s">
        <v>567</v>
      </c>
      <c r="D57" s="219" t="s">
        <v>702</v>
      </c>
      <c r="F57" s="333"/>
      <c r="G57" s="322"/>
    </row>
    <row r="58" spans="1:7" s="197" customFormat="1">
      <c r="A58" s="144">
        <f t="shared" si="0"/>
        <v>692</v>
      </c>
      <c r="B58" s="200">
        <v>19</v>
      </c>
      <c r="C58" s="200" t="s">
        <v>568</v>
      </c>
      <c r="D58" s="219" t="s">
        <v>703</v>
      </c>
      <c r="F58" s="333"/>
      <c r="G58" s="322"/>
    </row>
    <row r="59" spans="1:7" s="197" customFormat="1">
      <c r="A59" s="144">
        <f t="shared" si="0"/>
        <v>711</v>
      </c>
      <c r="B59" s="200">
        <v>19</v>
      </c>
      <c r="C59" s="200" t="s">
        <v>569</v>
      </c>
      <c r="D59" s="219" t="s">
        <v>704</v>
      </c>
      <c r="F59" s="333"/>
      <c r="G59" s="322"/>
    </row>
    <row r="60" spans="1:7" s="197" customFormat="1">
      <c r="A60" s="144">
        <f t="shared" si="0"/>
        <v>730</v>
      </c>
      <c r="B60" s="200">
        <v>19</v>
      </c>
      <c r="C60" s="200" t="s">
        <v>570</v>
      </c>
      <c r="D60" s="219" t="s">
        <v>705</v>
      </c>
      <c r="F60" s="333"/>
      <c r="G60" s="322"/>
    </row>
    <row r="61" spans="1:7" s="197" customFormat="1">
      <c r="A61" s="144">
        <f t="shared" si="0"/>
        <v>749</v>
      </c>
      <c r="B61" s="200">
        <v>19</v>
      </c>
      <c r="C61" s="200" t="s">
        <v>571</v>
      </c>
      <c r="D61" s="219" t="s">
        <v>706</v>
      </c>
      <c r="F61" s="333"/>
      <c r="G61" s="322"/>
    </row>
    <row r="62" spans="1:7" s="197" customFormat="1">
      <c r="A62" s="144">
        <f t="shared" si="0"/>
        <v>768</v>
      </c>
      <c r="B62" s="200">
        <v>19</v>
      </c>
      <c r="C62" s="200" t="s">
        <v>572</v>
      </c>
      <c r="D62" s="219" t="s">
        <v>707</v>
      </c>
      <c r="F62" s="333"/>
      <c r="G62" s="322"/>
    </row>
    <row r="63" spans="1:7" s="197" customFormat="1">
      <c r="A63" s="144">
        <f t="shared" si="0"/>
        <v>787</v>
      </c>
      <c r="B63" s="200">
        <v>19</v>
      </c>
      <c r="C63" s="200" t="s">
        <v>573</v>
      </c>
      <c r="D63" s="219" t="s">
        <v>708</v>
      </c>
      <c r="F63" s="333"/>
      <c r="G63" s="322"/>
    </row>
    <row r="64" spans="1:7" s="197" customFormat="1">
      <c r="A64" s="144">
        <f t="shared" si="0"/>
        <v>806</v>
      </c>
      <c r="B64" s="200">
        <v>19</v>
      </c>
      <c r="C64" s="200" t="s">
        <v>574</v>
      </c>
      <c r="D64" s="219" t="s">
        <v>709</v>
      </c>
      <c r="F64" s="333"/>
      <c r="G64" s="322"/>
    </row>
    <row r="65" spans="1:7" s="197" customFormat="1">
      <c r="A65" s="144">
        <f t="shared" si="0"/>
        <v>825</v>
      </c>
      <c r="B65" s="200">
        <v>19</v>
      </c>
      <c r="C65" s="200" t="s">
        <v>575</v>
      </c>
      <c r="D65" s="219" t="s">
        <v>710</v>
      </c>
      <c r="F65" s="333"/>
      <c r="G65" s="322"/>
    </row>
    <row r="66" spans="1:7" s="197" customFormat="1">
      <c r="A66" s="144">
        <f t="shared" si="0"/>
        <v>844</v>
      </c>
      <c r="B66" s="200">
        <v>19</v>
      </c>
      <c r="C66" s="200" t="s">
        <v>576</v>
      </c>
      <c r="D66" s="219" t="s">
        <v>711</v>
      </c>
      <c r="F66" s="333"/>
      <c r="G66" s="322"/>
    </row>
    <row r="67" spans="1:7" s="197" customFormat="1">
      <c r="A67" s="144">
        <f t="shared" si="0"/>
        <v>863</v>
      </c>
      <c r="B67" s="200">
        <v>19</v>
      </c>
      <c r="C67" s="200" t="s">
        <v>577</v>
      </c>
      <c r="D67" s="219" t="s">
        <v>712</v>
      </c>
      <c r="F67" s="333"/>
      <c r="G67" s="322"/>
    </row>
    <row r="68" spans="1:7" s="197" customFormat="1">
      <c r="A68" s="144">
        <f t="shared" si="0"/>
        <v>882</v>
      </c>
      <c r="B68" s="200">
        <v>19</v>
      </c>
      <c r="C68" s="200" t="s">
        <v>578</v>
      </c>
      <c r="D68" s="219" t="s">
        <v>713</v>
      </c>
      <c r="F68" s="333"/>
      <c r="G68" s="322"/>
    </row>
    <row r="69" spans="1:7" s="197" customFormat="1">
      <c r="A69" s="144">
        <f t="shared" si="0"/>
        <v>901</v>
      </c>
      <c r="B69" s="200">
        <v>19</v>
      </c>
      <c r="C69" s="200" t="s">
        <v>579</v>
      </c>
      <c r="D69" s="219" t="s">
        <v>714</v>
      </c>
      <c r="F69" s="333"/>
      <c r="G69" s="322"/>
    </row>
    <row r="70" spans="1:7" s="197" customFormat="1">
      <c r="A70" s="144">
        <f t="shared" si="0"/>
        <v>920</v>
      </c>
      <c r="B70" s="200">
        <v>19</v>
      </c>
      <c r="C70" s="200" t="s">
        <v>580</v>
      </c>
      <c r="D70" s="219" t="s">
        <v>715</v>
      </c>
      <c r="F70" s="333"/>
      <c r="G70" s="322"/>
    </row>
    <row r="71" spans="1:7" s="197" customFormat="1">
      <c r="A71" s="144">
        <f t="shared" si="0"/>
        <v>939</v>
      </c>
      <c r="B71" s="200">
        <v>19</v>
      </c>
      <c r="C71" s="200" t="s">
        <v>581</v>
      </c>
      <c r="D71" s="219" t="s">
        <v>716</v>
      </c>
      <c r="F71" s="333"/>
      <c r="G71" s="322"/>
    </row>
    <row r="72" spans="1:7" s="197" customFormat="1">
      <c r="A72" s="144">
        <f t="shared" si="0"/>
        <v>958</v>
      </c>
      <c r="B72" s="200">
        <v>19</v>
      </c>
      <c r="C72" s="200" t="s">
        <v>582</v>
      </c>
      <c r="D72" s="219" t="s">
        <v>717</v>
      </c>
      <c r="F72" s="333"/>
      <c r="G72" s="322"/>
    </row>
    <row r="73" spans="1:7" s="197" customFormat="1">
      <c r="A73" s="144">
        <f t="shared" si="0"/>
        <v>977</v>
      </c>
      <c r="B73" s="200">
        <v>19</v>
      </c>
      <c r="C73" s="200" t="s">
        <v>583</v>
      </c>
      <c r="D73" s="219" t="s">
        <v>718</v>
      </c>
      <c r="F73" s="333"/>
      <c r="G73" s="322"/>
    </row>
    <row r="74" spans="1:7" s="197" customFormat="1">
      <c r="A74" s="144">
        <f t="shared" si="0"/>
        <v>996</v>
      </c>
      <c r="B74" s="200">
        <v>19</v>
      </c>
      <c r="C74" s="200" t="s">
        <v>584</v>
      </c>
      <c r="D74" s="219" t="s">
        <v>719</v>
      </c>
      <c r="F74" s="333"/>
      <c r="G74" s="322"/>
    </row>
    <row r="75" spans="1:7" s="197" customFormat="1">
      <c r="A75" s="144">
        <f t="shared" si="0"/>
        <v>1015</v>
      </c>
      <c r="B75" s="200">
        <v>19</v>
      </c>
      <c r="C75" s="200" t="s">
        <v>585</v>
      </c>
      <c r="D75" s="219" t="s">
        <v>720</v>
      </c>
      <c r="F75" s="333"/>
      <c r="G75" s="322"/>
    </row>
    <row r="76" spans="1:7" s="197" customFormat="1">
      <c r="A76" s="144">
        <f t="shared" si="0"/>
        <v>1034</v>
      </c>
      <c r="B76" s="200">
        <v>19</v>
      </c>
      <c r="C76" s="200" t="s">
        <v>586</v>
      </c>
      <c r="D76" s="219" t="s">
        <v>721</v>
      </c>
      <c r="F76" s="333"/>
      <c r="G76" s="322"/>
    </row>
    <row r="77" spans="1:7" s="197" customFormat="1">
      <c r="A77" s="144">
        <f t="shared" si="0"/>
        <v>1053</v>
      </c>
      <c r="B77" s="200">
        <v>19</v>
      </c>
      <c r="C77" s="200" t="s">
        <v>587</v>
      </c>
      <c r="D77" s="219" t="s">
        <v>722</v>
      </c>
      <c r="F77" s="333"/>
      <c r="G77" s="322"/>
    </row>
    <row r="78" spans="1:7" s="197" customFormat="1">
      <c r="A78" s="144">
        <f t="shared" si="0"/>
        <v>1072</v>
      </c>
      <c r="B78" s="200">
        <v>19</v>
      </c>
      <c r="C78" s="200" t="s">
        <v>588</v>
      </c>
      <c r="D78" s="219" t="s">
        <v>723</v>
      </c>
      <c r="F78" s="333"/>
      <c r="G78" s="322"/>
    </row>
    <row r="79" spans="1:7" s="197" customFormat="1">
      <c r="A79" s="144">
        <f t="shared" si="0"/>
        <v>1091</v>
      </c>
      <c r="B79" s="200">
        <v>19</v>
      </c>
      <c r="C79" s="200" t="s">
        <v>589</v>
      </c>
      <c r="D79" s="219" t="s">
        <v>724</v>
      </c>
      <c r="F79" s="333"/>
      <c r="G79" s="322"/>
    </row>
    <row r="80" spans="1:7" s="197" customFormat="1">
      <c r="A80" s="144">
        <f t="shared" si="0"/>
        <v>1110</v>
      </c>
      <c r="B80" s="200">
        <v>19</v>
      </c>
      <c r="C80" s="200" t="s">
        <v>590</v>
      </c>
      <c r="D80" s="219" t="s">
        <v>725</v>
      </c>
      <c r="F80" s="333"/>
      <c r="G80" s="322"/>
    </row>
    <row r="81" spans="1:7" s="197" customFormat="1">
      <c r="A81" s="144">
        <f t="shared" si="0"/>
        <v>1129</v>
      </c>
      <c r="B81" s="200">
        <v>19</v>
      </c>
      <c r="C81" s="200" t="s">
        <v>591</v>
      </c>
      <c r="D81" s="219" t="s">
        <v>726</v>
      </c>
      <c r="F81" s="333"/>
      <c r="G81" s="322"/>
    </row>
    <row r="82" spans="1:7" s="197" customFormat="1">
      <c r="A82" s="144">
        <f t="shared" si="0"/>
        <v>1148</v>
      </c>
      <c r="B82" s="200">
        <v>1</v>
      </c>
      <c r="C82" s="200" t="s">
        <v>727</v>
      </c>
      <c r="D82" s="219" t="s">
        <v>728</v>
      </c>
      <c r="F82" s="333"/>
      <c r="G82" s="322"/>
    </row>
    <row r="83" spans="1:7" s="197" customFormat="1" ht="52.8">
      <c r="A83" s="144">
        <f t="shared" si="0"/>
        <v>1149</v>
      </c>
      <c r="B83" s="200">
        <v>1</v>
      </c>
      <c r="C83" s="200" t="s">
        <v>729</v>
      </c>
      <c r="D83" s="219" t="s">
        <v>730</v>
      </c>
      <c r="F83" s="333"/>
      <c r="G83" s="322"/>
    </row>
    <row r="84" spans="1:7" s="197" customFormat="1">
      <c r="A84" s="144">
        <f t="shared" si="0"/>
        <v>1150</v>
      </c>
      <c r="B84" s="200">
        <v>1</v>
      </c>
      <c r="C84" s="200" t="s">
        <v>731</v>
      </c>
      <c r="D84" s="200" t="s">
        <v>596</v>
      </c>
      <c r="F84" s="333"/>
      <c r="G84" s="322"/>
    </row>
    <row r="85" spans="1:7" s="197" customFormat="1" ht="22.8">
      <c r="A85" s="144">
        <f t="shared" si="0"/>
        <v>1151</v>
      </c>
      <c r="B85" s="200">
        <v>2</v>
      </c>
      <c r="C85" s="200" t="s">
        <v>732</v>
      </c>
      <c r="D85" s="156" t="s">
        <v>733</v>
      </c>
      <c r="F85" s="333"/>
      <c r="G85" s="322"/>
    </row>
    <row r="86" spans="1:7" s="197" customFormat="1">
      <c r="A86" s="144">
        <f t="shared" si="0"/>
        <v>1153</v>
      </c>
      <c r="B86" s="200">
        <v>1</v>
      </c>
      <c r="C86" s="200" t="s">
        <v>734</v>
      </c>
      <c r="D86" s="200" t="s">
        <v>596</v>
      </c>
      <c r="F86" s="333"/>
      <c r="G86" s="322"/>
    </row>
    <row r="87" spans="1:7" s="197" customFormat="1" ht="145.19999999999999">
      <c r="A87" s="144">
        <f t="shared" si="0"/>
        <v>1154</v>
      </c>
      <c r="B87" s="200">
        <v>1</v>
      </c>
      <c r="C87" s="200" t="s">
        <v>735</v>
      </c>
      <c r="D87" s="219" t="s">
        <v>736</v>
      </c>
      <c r="F87" s="333"/>
      <c r="G87" s="322"/>
    </row>
    <row r="88" spans="1:7" s="197" customFormat="1">
      <c r="A88" s="144">
        <f t="shared" si="0"/>
        <v>1155</v>
      </c>
      <c r="B88" s="200">
        <v>1</v>
      </c>
      <c r="C88" s="200" t="s">
        <v>737</v>
      </c>
      <c r="D88" s="200" t="s">
        <v>596</v>
      </c>
      <c r="F88" s="333"/>
      <c r="G88" s="322"/>
    </row>
    <row r="89" spans="1:7" s="197" customFormat="1" ht="79.2">
      <c r="A89" s="144">
        <f t="shared" si="0"/>
        <v>1156</v>
      </c>
      <c r="B89" s="200">
        <v>1</v>
      </c>
      <c r="C89" s="200" t="s">
        <v>738</v>
      </c>
      <c r="D89" s="219" t="s">
        <v>739</v>
      </c>
      <c r="F89" s="333"/>
      <c r="G89" s="322"/>
    </row>
    <row r="90" spans="1:7" s="197" customFormat="1">
      <c r="A90" s="144">
        <f t="shared" si="0"/>
        <v>1157</v>
      </c>
      <c r="B90" s="200">
        <v>1</v>
      </c>
      <c r="C90" s="200" t="s">
        <v>740</v>
      </c>
      <c r="D90" s="200" t="s">
        <v>596</v>
      </c>
      <c r="F90" s="333"/>
      <c r="G90" s="322"/>
    </row>
    <row r="91" spans="1:7" s="197" customFormat="1" ht="26.4">
      <c r="A91" s="144">
        <f t="shared" si="0"/>
        <v>1158</v>
      </c>
      <c r="B91" s="200">
        <v>1</v>
      </c>
      <c r="C91" s="200" t="s">
        <v>741</v>
      </c>
      <c r="D91" s="219" t="s">
        <v>742</v>
      </c>
      <c r="F91" s="333"/>
      <c r="G91" s="322"/>
    </row>
    <row r="92" spans="1:7" s="197" customFormat="1">
      <c r="A92" s="144">
        <f t="shared" si="0"/>
        <v>1159</v>
      </c>
      <c r="B92" s="200">
        <v>1</v>
      </c>
      <c r="C92" s="200" t="s">
        <v>743</v>
      </c>
      <c r="D92" s="200" t="s">
        <v>596</v>
      </c>
      <c r="F92" s="333"/>
      <c r="G92" s="322"/>
    </row>
    <row r="93" spans="1:7" s="197" customFormat="1" ht="118.8">
      <c r="A93" s="144">
        <f t="shared" si="0"/>
        <v>1160</v>
      </c>
      <c r="B93" s="200">
        <v>5</v>
      </c>
      <c r="C93" s="200" t="s">
        <v>744</v>
      </c>
      <c r="D93" s="219" t="s">
        <v>745</v>
      </c>
      <c r="F93" s="333"/>
      <c r="G93" s="322"/>
    </row>
    <row r="94" spans="1:7" s="197" customFormat="1">
      <c r="A94" s="144">
        <f t="shared" si="0"/>
        <v>1165</v>
      </c>
      <c r="B94" s="200">
        <v>1</v>
      </c>
      <c r="C94" s="200" t="s">
        <v>746</v>
      </c>
      <c r="D94" s="200" t="s">
        <v>596</v>
      </c>
      <c r="F94" s="333"/>
      <c r="G94" s="322"/>
    </row>
    <row r="95" spans="1:7" s="197" customFormat="1" ht="296.39999999999998">
      <c r="A95" s="144">
        <f t="shared" si="0"/>
        <v>1166</v>
      </c>
      <c r="B95" s="200">
        <v>1</v>
      </c>
      <c r="C95" s="200" t="s">
        <v>747</v>
      </c>
      <c r="D95" s="335" t="s">
        <v>381</v>
      </c>
      <c r="F95" s="333" t="s">
        <v>748</v>
      </c>
      <c r="G95" s="333" t="s">
        <v>167</v>
      </c>
    </row>
    <row r="96" spans="1:7" s="197" customFormat="1">
      <c r="A96" s="144">
        <f t="shared" si="0"/>
        <v>1167</v>
      </c>
      <c r="B96" s="200">
        <v>1</v>
      </c>
      <c r="C96" s="200" t="s">
        <v>749</v>
      </c>
      <c r="D96" s="200" t="s">
        <v>596</v>
      </c>
      <c r="F96" s="333"/>
      <c r="G96" s="322"/>
    </row>
    <row r="97" spans="1:7" s="197" customFormat="1" ht="92.25" customHeight="1">
      <c r="A97" s="144">
        <f t="shared" si="0"/>
        <v>1168</v>
      </c>
      <c r="B97" s="200">
        <v>1</v>
      </c>
      <c r="C97" s="200" t="s">
        <v>750</v>
      </c>
      <c r="D97" s="219" t="s">
        <v>751</v>
      </c>
      <c r="F97" s="333"/>
      <c r="G97" s="322"/>
    </row>
    <row r="98" spans="1:7" s="197" customFormat="1">
      <c r="A98" s="144">
        <f t="shared" si="0"/>
        <v>1169</v>
      </c>
      <c r="B98" s="200">
        <v>1</v>
      </c>
      <c r="C98" s="200" t="s">
        <v>752</v>
      </c>
      <c r="D98" s="200" t="s">
        <v>596</v>
      </c>
      <c r="F98" s="333"/>
      <c r="G98" s="322"/>
    </row>
    <row r="99" spans="1:7" s="197" customFormat="1" ht="26.4">
      <c r="A99" s="144">
        <f t="shared" si="0"/>
        <v>1170</v>
      </c>
      <c r="B99" s="200">
        <v>1</v>
      </c>
      <c r="C99" s="200" t="s">
        <v>407</v>
      </c>
      <c r="D99" s="221" t="s">
        <v>753</v>
      </c>
      <c r="F99" s="333"/>
      <c r="G99" s="322"/>
    </row>
    <row r="100" spans="1:7" s="197" customFormat="1">
      <c r="A100" s="144">
        <f t="shared" si="0"/>
        <v>1171</v>
      </c>
      <c r="B100" s="200">
        <v>1</v>
      </c>
      <c r="C100" s="200" t="s">
        <v>754</v>
      </c>
      <c r="D100" s="200" t="s">
        <v>596</v>
      </c>
      <c r="F100" s="333"/>
      <c r="G100" s="322"/>
    </row>
    <row r="101" spans="1:7" s="197" customFormat="1" ht="26.4">
      <c r="A101" s="144">
        <f t="shared" si="0"/>
        <v>1172</v>
      </c>
      <c r="B101" s="200">
        <v>1</v>
      </c>
      <c r="C101" s="200" t="s">
        <v>409</v>
      </c>
      <c r="D101" s="221" t="s">
        <v>753</v>
      </c>
      <c r="F101" s="333"/>
      <c r="G101" s="322"/>
    </row>
    <row r="102" spans="1:7" s="197" customFormat="1">
      <c r="A102" s="144">
        <f t="shared" si="0"/>
        <v>1173</v>
      </c>
      <c r="B102" s="200">
        <v>1</v>
      </c>
      <c r="C102" s="200" t="s">
        <v>755</v>
      </c>
      <c r="D102" s="200" t="s">
        <v>596</v>
      </c>
      <c r="F102" s="333"/>
      <c r="G102" s="322"/>
    </row>
    <row r="103" spans="1:7" s="197" customFormat="1" ht="26.4">
      <c r="A103" s="144">
        <f t="shared" si="0"/>
        <v>1174</v>
      </c>
      <c r="B103" s="200">
        <v>1</v>
      </c>
      <c r="C103" s="200" t="s">
        <v>410</v>
      </c>
      <c r="D103" s="221" t="s">
        <v>753</v>
      </c>
      <c r="F103" s="333"/>
      <c r="G103" s="322"/>
    </row>
    <row r="104" spans="1:7" s="197" customFormat="1">
      <c r="A104" s="144">
        <f t="shared" si="0"/>
        <v>1175</v>
      </c>
      <c r="B104" s="200">
        <v>1</v>
      </c>
      <c r="C104" s="200" t="s">
        <v>756</v>
      </c>
      <c r="D104" s="200" t="s">
        <v>596</v>
      </c>
      <c r="F104" s="333"/>
      <c r="G104" s="322"/>
    </row>
    <row r="105" spans="1:7" s="197" customFormat="1" ht="26.4">
      <c r="A105" s="144">
        <f t="shared" si="0"/>
        <v>1176</v>
      </c>
      <c r="B105" s="200">
        <v>1</v>
      </c>
      <c r="C105" s="200" t="s">
        <v>411</v>
      </c>
      <c r="D105" s="221" t="s">
        <v>753</v>
      </c>
      <c r="F105" s="333"/>
      <c r="G105" s="322"/>
    </row>
    <row r="106" spans="1:7" s="197" customFormat="1">
      <c r="A106" s="144">
        <f t="shared" si="0"/>
        <v>1177</v>
      </c>
      <c r="B106" s="200">
        <v>1</v>
      </c>
      <c r="C106" s="200" t="s">
        <v>757</v>
      </c>
      <c r="D106" s="200" t="s">
        <v>596</v>
      </c>
      <c r="F106" s="333"/>
      <c r="G106" s="322"/>
    </row>
    <row r="107" spans="1:7" s="197" customFormat="1" ht="26.4">
      <c r="A107" s="144">
        <f t="shared" si="0"/>
        <v>1178</v>
      </c>
      <c r="B107" s="200">
        <v>4</v>
      </c>
      <c r="C107" s="200" t="s">
        <v>412</v>
      </c>
      <c r="D107" s="219" t="s">
        <v>758</v>
      </c>
      <c r="F107" s="333"/>
      <c r="G107" s="322"/>
    </row>
    <row r="108" spans="1:7" s="197" customFormat="1">
      <c r="A108" s="144">
        <f t="shared" si="0"/>
        <v>1182</v>
      </c>
      <c r="B108" s="200">
        <v>1</v>
      </c>
      <c r="C108" s="200" t="s">
        <v>759</v>
      </c>
      <c r="D108" s="200" t="s">
        <v>596</v>
      </c>
      <c r="F108" s="333"/>
      <c r="G108" s="322"/>
    </row>
    <row r="109" spans="1:7" s="197" customFormat="1" ht="26.4">
      <c r="A109" s="144">
        <f t="shared" si="0"/>
        <v>1183</v>
      </c>
      <c r="B109" s="200">
        <v>4</v>
      </c>
      <c r="C109" s="200" t="s">
        <v>414</v>
      </c>
      <c r="D109" s="219" t="s">
        <v>758</v>
      </c>
      <c r="F109" s="333"/>
      <c r="G109" s="322"/>
    </row>
    <row r="110" spans="1:7" s="197" customFormat="1">
      <c r="A110" s="144">
        <f t="shared" si="0"/>
        <v>1187</v>
      </c>
      <c r="B110" s="200">
        <v>1</v>
      </c>
      <c r="C110" s="200" t="s">
        <v>760</v>
      </c>
      <c r="D110" s="200" t="s">
        <v>596</v>
      </c>
      <c r="F110" s="333"/>
      <c r="G110" s="322"/>
    </row>
    <row r="111" spans="1:7" s="197" customFormat="1" ht="26.4">
      <c r="A111" s="144">
        <f t="shared" si="0"/>
        <v>1188</v>
      </c>
      <c r="B111" s="200">
        <v>1</v>
      </c>
      <c r="C111" s="200" t="s">
        <v>415</v>
      </c>
      <c r="D111" s="219" t="s">
        <v>742</v>
      </c>
      <c r="F111" s="333"/>
      <c r="G111" s="322"/>
    </row>
    <row r="112" spans="1:7" s="197" customFormat="1">
      <c r="A112" s="144">
        <f t="shared" si="0"/>
        <v>1189</v>
      </c>
      <c r="B112" s="200">
        <v>1</v>
      </c>
      <c r="C112" s="200" t="s">
        <v>761</v>
      </c>
      <c r="D112" s="200" t="s">
        <v>596</v>
      </c>
      <c r="F112" s="333"/>
      <c r="G112" s="322"/>
    </row>
    <row r="113" spans="1:7" s="197" customFormat="1">
      <c r="A113" s="144">
        <f t="shared" si="0"/>
        <v>1190</v>
      </c>
      <c r="B113" s="200">
        <v>1</v>
      </c>
      <c r="C113" s="200" t="s">
        <v>762</v>
      </c>
      <c r="D113" s="200" t="s">
        <v>347</v>
      </c>
      <c r="F113" s="333"/>
      <c r="G113" s="322"/>
    </row>
    <row r="114" spans="1:7" ht="22.8">
      <c r="A114" s="144">
        <f t="shared" si="0"/>
        <v>1191</v>
      </c>
      <c r="B114" s="144">
        <v>2</v>
      </c>
      <c r="C114" s="144" t="s">
        <v>127</v>
      </c>
      <c r="D114" s="156" t="s">
        <v>128</v>
      </c>
    </row>
    <row r="115" spans="1:7" ht="34.200000000000003">
      <c r="A115" s="144">
        <f t="shared" si="0"/>
        <v>1193</v>
      </c>
      <c r="B115" s="144">
        <v>4</v>
      </c>
      <c r="C115" s="144" t="s">
        <v>129</v>
      </c>
      <c r="D115" s="156" t="s">
        <v>130</v>
      </c>
    </row>
    <row r="116" spans="1:7">
      <c r="A116" s="144">
        <f t="shared" si="0"/>
        <v>1197</v>
      </c>
      <c r="B116" s="144">
        <v>1</v>
      </c>
      <c r="C116" s="144" t="s">
        <v>131</v>
      </c>
      <c r="D116" s="156" t="s">
        <v>132</v>
      </c>
    </row>
    <row r="117" spans="1:7">
      <c r="A117" s="144">
        <f t="shared" si="0"/>
        <v>1198</v>
      </c>
      <c r="B117" s="157" t="s">
        <v>486</v>
      </c>
    </row>
  </sheetData>
  <mergeCells count="2">
    <mergeCell ref="A2:E2"/>
    <mergeCell ref="A4:E4"/>
  </mergeCells>
  <pageMargins left="0.75" right="0.75" top="1" bottom="1" header="0.51111111111111096" footer="0.51111111111111096"/>
  <pageSetup orientation="portrait" horizontalDpi="300" verticalDpi="300"/>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5"/>
  <sheetViews>
    <sheetView topLeftCell="A70" zoomScale="70" zoomScaleNormal="70" workbookViewId="0">
      <selection activeCell="L79" sqref="L79"/>
    </sheetView>
  </sheetViews>
  <sheetFormatPr defaultColWidth="9.109375" defaultRowHeight="13.2"/>
  <cols>
    <col min="1" max="1" width="24.21875" style="144" customWidth="1"/>
    <col min="2" max="2" width="17.6640625" style="144" customWidth="1"/>
    <col min="3" max="3" width="26" style="198" customWidth="1"/>
    <col min="4" max="4" width="31.5546875" style="145" customWidth="1"/>
    <col min="5" max="5" width="31.21875" style="146" customWidth="1"/>
    <col min="6" max="6" width="26" style="329" customWidth="1"/>
    <col min="7" max="7" width="17.21875" style="330" customWidth="1"/>
    <col min="8" max="8" width="4.5546875" style="146" customWidth="1"/>
    <col min="9" max="9" width="9.109375" style="146" customWidth="1"/>
    <col min="10" max="16384" width="9.109375" style="146"/>
  </cols>
  <sheetData>
    <row r="1" spans="1:7" ht="26.4">
      <c r="A1" s="155"/>
      <c r="B1" s="155"/>
      <c r="F1" s="318" t="s">
        <v>106</v>
      </c>
      <c r="G1" s="319" t="s">
        <v>107</v>
      </c>
    </row>
    <row r="2" spans="1:7" ht="15">
      <c r="A2" s="505" t="s">
        <v>763</v>
      </c>
      <c r="B2" s="505"/>
      <c r="C2" s="505"/>
      <c r="D2" s="505"/>
      <c r="E2" s="505"/>
    </row>
    <row r="4" spans="1:7" s="196" customFormat="1" ht="15">
      <c r="A4" s="505" t="s">
        <v>764</v>
      </c>
      <c r="B4" s="505"/>
      <c r="C4" s="505"/>
      <c r="D4" s="505"/>
      <c r="E4" s="505"/>
      <c r="F4" s="329"/>
      <c r="G4" s="330"/>
    </row>
    <row r="5" spans="1:7" ht="15">
      <c r="A5" s="151"/>
      <c r="B5" s="155"/>
      <c r="D5" s="175"/>
    </row>
    <row r="6" spans="1:7" s="155" customFormat="1" ht="18" customHeight="1">
      <c r="A6" s="152" t="s">
        <v>110</v>
      </c>
      <c r="B6" s="152" t="s">
        <v>111</v>
      </c>
      <c r="C6" s="153" t="s">
        <v>112</v>
      </c>
      <c r="D6" s="168" t="s">
        <v>113</v>
      </c>
      <c r="F6" s="331"/>
      <c r="G6" s="332"/>
    </row>
    <row r="7" spans="1:7">
      <c r="A7" s="144">
        <v>0</v>
      </c>
      <c r="B7" s="144">
        <v>1</v>
      </c>
      <c r="C7" s="198" t="s">
        <v>114</v>
      </c>
      <c r="D7" s="145" t="s">
        <v>115</v>
      </c>
    </row>
    <row r="8" spans="1:7" ht="22.8">
      <c r="A8" s="144">
        <f t="shared" ref="A8:A16" si="0">A7+B7</f>
        <v>1</v>
      </c>
      <c r="B8" s="144">
        <v>1</v>
      </c>
      <c r="C8" s="198" t="s">
        <v>116</v>
      </c>
      <c r="D8" s="145" t="s">
        <v>117</v>
      </c>
    </row>
    <row r="9" spans="1:7">
      <c r="A9" s="144">
        <f t="shared" si="0"/>
        <v>2</v>
      </c>
      <c r="B9" s="144">
        <v>1</v>
      </c>
      <c r="C9" s="198" t="s">
        <v>765</v>
      </c>
      <c r="D9" s="145" t="s">
        <v>119</v>
      </c>
    </row>
    <row r="10" spans="1:7" ht="39.6">
      <c r="A10" s="144">
        <f t="shared" si="0"/>
        <v>3</v>
      </c>
      <c r="B10" s="144">
        <v>2</v>
      </c>
      <c r="C10" s="10" t="s">
        <v>120</v>
      </c>
      <c r="D10" s="145" t="str">
        <f>DEC2HEX(A16-5)</f>
        <v>B</v>
      </c>
      <c r="E10" s="156"/>
    </row>
    <row r="11" spans="1:7" s="197" customFormat="1">
      <c r="A11" s="144">
        <f t="shared" si="0"/>
        <v>5</v>
      </c>
      <c r="B11" s="200">
        <v>2</v>
      </c>
      <c r="C11" s="200" t="s">
        <v>121</v>
      </c>
      <c r="D11" s="201" t="s">
        <v>766</v>
      </c>
      <c r="F11" s="333"/>
      <c r="G11" s="324"/>
    </row>
    <row r="12" spans="1:7" ht="22.8">
      <c r="A12" s="144">
        <f t="shared" si="0"/>
        <v>7</v>
      </c>
      <c r="B12" s="144">
        <v>2</v>
      </c>
      <c r="C12" s="10" t="s">
        <v>123</v>
      </c>
      <c r="D12" s="145" t="s">
        <v>767</v>
      </c>
    </row>
    <row r="13" spans="1:7" ht="22.8">
      <c r="A13" s="144">
        <f t="shared" si="0"/>
        <v>9</v>
      </c>
      <c r="B13" s="144">
        <v>2</v>
      </c>
      <c r="C13" s="144" t="s">
        <v>127</v>
      </c>
      <c r="D13" s="145" t="s">
        <v>128</v>
      </c>
    </row>
    <row r="14" spans="1:7" ht="34.200000000000003">
      <c r="A14" s="144">
        <f t="shared" si="0"/>
        <v>11</v>
      </c>
      <c r="B14" s="144">
        <v>4</v>
      </c>
      <c r="C14" s="144" t="s">
        <v>129</v>
      </c>
      <c r="D14" s="145" t="s">
        <v>130</v>
      </c>
    </row>
    <row r="15" spans="1:7">
      <c r="A15" s="144">
        <f t="shared" si="0"/>
        <v>15</v>
      </c>
      <c r="B15" s="144">
        <v>1</v>
      </c>
      <c r="C15" s="144" t="s">
        <v>131</v>
      </c>
      <c r="D15" s="145" t="s">
        <v>132</v>
      </c>
    </row>
    <row r="16" spans="1:7">
      <c r="A16" s="144">
        <f t="shared" si="0"/>
        <v>16</v>
      </c>
      <c r="B16" s="157" t="s">
        <v>486</v>
      </c>
    </row>
    <row r="20" spans="1:7" ht="15">
      <c r="A20" s="155"/>
      <c r="B20" s="155"/>
    </row>
    <row r="21" spans="1:7" ht="15">
      <c r="A21" s="505" t="s">
        <v>768</v>
      </c>
      <c r="B21" s="505"/>
      <c r="C21" s="505"/>
      <c r="D21" s="505"/>
      <c r="E21" s="505"/>
    </row>
    <row r="23" spans="1:7" s="196" customFormat="1" ht="15">
      <c r="A23" s="505" t="s">
        <v>769</v>
      </c>
      <c r="B23" s="505"/>
      <c r="C23" s="505"/>
      <c r="D23" s="505"/>
      <c r="E23" s="505"/>
      <c r="F23" s="329"/>
      <c r="G23" s="330"/>
    </row>
    <row r="24" spans="1:7" ht="15">
      <c r="A24" s="151"/>
      <c r="B24" s="155"/>
      <c r="D24" s="175"/>
    </row>
    <row r="25" spans="1:7" s="155" customFormat="1" ht="30">
      <c r="A25" s="152" t="s">
        <v>110</v>
      </c>
      <c r="B25" s="152" t="s">
        <v>111</v>
      </c>
      <c r="C25" s="153" t="s">
        <v>112</v>
      </c>
      <c r="D25" s="168" t="s">
        <v>113</v>
      </c>
      <c r="F25" s="331"/>
      <c r="G25" s="332"/>
    </row>
    <row r="26" spans="1:7">
      <c r="A26" s="144">
        <v>0</v>
      </c>
      <c r="B26" s="144">
        <v>1</v>
      </c>
      <c r="C26" s="198" t="s">
        <v>114</v>
      </c>
      <c r="D26" s="145" t="s">
        <v>115</v>
      </c>
    </row>
    <row r="27" spans="1:7" ht="22.8">
      <c r="A27" s="144">
        <f t="shared" ref="A27:A145" si="1">A26+B26</f>
        <v>1</v>
      </c>
      <c r="B27" s="144">
        <v>1</v>
      </c>
      <c r="C27" s="198" t="s">
        <v>770</v>
      </c>
      <c r="D27" s="145" t="s">
        <v>771</v>
      </c>
    </row>
    <row r="28" spans="1:7">
      <c r="A28" s="144">
        <f t="shared" si="1"/>
        <v>2</v>
      </c>
      <c r="B28" s="144">
        <v>1</v>
      </c>
      <c r="C28" s="198" t="s">
        <v>527</v>
      </c>
      <c r="D28" s="145" t="s">
        <v>772</v>
      </c>
    </row>
    <row r="29" spans="1:7">
      <c r="A29" s="144">
        <f t="shared" si="1"/>
        <v>3</v>
      </c>
      <c r="B29" s="144">
        <v>3</v>
      </c>
      <c r="C29" s="14" t="s">
        <v>140</v>
      </c>
      <c r="D29" s="19" t="s">
        <v>141</v>
      </c>
      <c r="E29" s="156"/>
    </row>
    <row r="30" spans="1:7" s="197" customFormat="1">
      <c r="A30" s="144">
        <f t="shared" si="1"/>
        <v>6</v>
      </c>
      <c r="B30" s="200">
        <v>2</v>
      </c>
      <c r="C30" s="200" t="s">
        <v>121</v>
      </c>
      <c r="D30" s="201" t="s">
        <v>766</v>
      </c>
      <c r="F30" s="333"/>
      <c r="G30" s="324"/>
    </row>
    <row r="31" spans="1:7" s="197" customFormat="1">
      <c r="A31" s="144">
        <f t="shared" si="1"/>
        <v>8</v>
      </c>
      <c r="B31" s="200"/>
      <c r="C31" s="515" t="s">
        <v>773</v>
      </c>
      <c r="D31" s="515"/>
      <c r="F31" s="333"/>
      <c r="G31" s="324"/>
    </row>
    <row r="32" spans="1:7" s="197" customFormat="1">
      <c r="A32" s="144">
        <f t="shared" si="1"/>
        <v>8</v>
      </c>
      <c r="B32" s="200">
        <v>1</v>
      </c>
      <c r="C32" s="222" t="s">
        <v>41</v>
      </c>
      <c r="D32" s="199" t="s">
        <v>774</v>
      </c>
      <c r="F32" s="333"/>
      <c r="G32" s="324"/>
    </row>
    <row r="33" spans="1:7" s="197" customFormat="1" ht="26.4">
      <c r="A33" s="144">
        <f t="shared" si="1"/>
        <v>9</v>
      </c>
      <c r="B33" s="200">
        <v>2</v>
      </c>
      <c r="C33" s="334" t="s">
        <v>775</v>
      </c>
      <c r="D33" s="199" t="s">
        <v>776</v>
      </c>
      <c r="F33" s="333"/>
      <c r="G33" s="324"/>
    </row>
    <row r="34" spans="1:7" s="197" customFormat="1" ht="52.8">
      <c r="A34" s="144">
        <f t="shared" si="1"/>
        <v>11</v>
      </c>
      <c r="B34" s="200">
        <v>1</v>
      </c>
      <c r="C34" s="334" t="s">
        <v>777</v>
      </c>
      <c r="D34" s="199" t="s">
        <v>778</v>
      </c>
      <c r="F34" s="333" t="s">
        <v>779</v>
      </c>
      <c r="G34" s="324" t="s">
        <v>780</v>
      </c>
    </row>
    <row r="35" spans="1:7" s="197" customFormat="1" ht="52.8">
      <c r="A35" s="144">
        <f t="shared" si="1"/>
        <v>12</v>
      </c>
      <c r="B35" s="200">
        <v>1</v>
      </c>
      <c r="C35" s="334" t="s">
        <v>781</v>
      </c>
      <c r="D35" s="199" t="s">
        <v>778</v>
      </c>
      <c r="F35" s="333" t="s">
        <v>779</v>
      </c>
      <c r="G35" s="324" t="s">
        <v>780</v>
      </c>
    </row>
    <row r="36" spans="1:7" s="197" customFormat="1" ht="285">
      <c r="A36" s="144">
        <f t="shared" si="1"/>
        <v>13</v>
      </c>
      <c r="B36" s="200">
        <v>1</v>
      </c>
      <c r="C36" s="10" t="s">
        <v>493</v>
      </c>
      <c r="D36" s="127" t="s">
        <v>494</v>
      </c>
      <c r="F36" s="333"/>
      <c r="G36" s="324"/>
    </row>
    <row r="37" spans="1:7" s="197" customFormat="1" ht="39.6">
      <c r="A37" s="144">
        <f t="shared" si="1"/>
        <v>14</v>
      </c>
      <c r="B37" s="200">
        <v>1</v>
      </c>
      <c r="C37" s="219" t="s">
        <v>782</v>
      </c>
      <c r="D37" s="199" t="s">
        <v>783</v>
      </c>
      <c r="F37" s="333"/>
      <c r="G37" s="324"/>
    </row>
    <row r="38" spans="1:7" s="197" customFormat="1" ht="26.4">
      <c r="A38" s="144">
        <f t="shared" si="1"/>
        <v>15</v>
      </c>
      <c r="B38" s="200">
        <v>1</v>
      </c>
      <c r="C38" s="219" t="s">
        <v>784</v>
      </c>
      <c r="D38" s="199" t="s">
        <v>785</v>
      </c>
      <c r="F38" s="333"/>
      <c r="G38" s="324"/>
    </row>
    <row r="39" spans="1:7" s="197" customFormat="1" ht="39.6">
      <c r="A39" s="144">
        <f t="shared" si="1"/>
        <v>16</v>
      </c>
      <c r="B39" s="200">
        <v>1</v>
      </c>
      <c r="C39" s="219" t="s">
        <v>786</v>
      </c>
      <c r="D39" s="199" t="s">
        <v>787</v>
      </c>
      <c r="F39" s="333"/>
      <c r="G39" s="324"/>
    </row>
    <row r="40" spans="1:7" s="197" customFormat="1" ht="52.8">
      <c r="A40" s="144">
        <f t="shared" si="1"/>
        <v>17</v>
      </c>
      <c r="B40" s="200">
        <v>1</v>
      </c>
      <c r="C40" s="219" t="s">
        <v>788</v>
      </c>
      <c r="D40" s="199" t="s">
        <v>789</v>
      </c>
      <c r="F40" s="333"/>
      <c r="G40" s="324"/>
    </row>
    <row r="41" spans="1:7" s="197" customFormat="1" ht="39.6">
      <c r="A41" s="144">
        <f t="shared" si="1"/>
        <v>18</v>
      </c>
      <c r="B41" s="200">
        <v>1</v>
      </c>
      <c r="C41" s="219" t="s">
        <v>790</v>
      </c>
      <c r="D41" s="199" t="s">
        <v>791</v>
      </c>
      <c r="F41" s="333"/>
      <c r="G41" s="324"/>
    </row>
    <row r="42" spans="1:7" s="197" customFormat="1" ht="52.8">
      <c r="A42" s="144">
        <f t="shared" si="1"/>
        <v>19</v>
      </c>
      <c r="B42" s="200">
        <v>1</v>
      </c>
      <c r="C42" s="219" t="s">
        <v>792</v>
      </c>
      <c r="D42" s="199" t="s">
        <v>793</v>
      </c>
      <c r="F42" s="333"/>
      <c r="G42" s="324"/>
    </row>
    <row r="43" spans="1:7" s="197" customFormat="1" ht="66">
      <c r="A43" s="144">
        <f t="shared" si="1"/>
        <v>20</v>
      </c>
      <c r="B43" s="200">
        <v>1</v>
      </c>
      <c r="C43" s="219" t="s">
        <v>794</v>
      </c>
      <c r="D43" s="199" t="s">
        <v>795</v>
      </c>
      <c r="F43" s="333"/>
      <c r="G43" s="324"/>
    </row>
    <row r="44" spans="1:7" s="197" customFormat="1" ht="26.4">
      <c r="A44" s="144">
        <f t="shared" si="1"/>
        <v>21</v>
      </c>
      <c r="B44" s="200">
        <v>2</v>
      </c>
      <c r="C44" s="219" t="s">
        <v>796</v>
      </c>
      <c r="D44" s="199" t="s">
        <v>776</v>
      </c>
      <c r="F44" s="333"/>
      <c r="G44" s="324"/>
    </row>
    <row r="45" spans="1:7" s="197" customFormat="1" ht="52.8">
      <c r="A45" s="144">
        <f t="shared" si="1"/>
        <v>23</v>
      </c>
      <c r="B45" s="200">
        <v>16</v>
      </c>
      <c r="C45" s="219" t="s">
        <v>797</v>
      </c>
      <c r="D45" s="199" t="s">
        <v>798</v>
      </c>
      <c r="F45" s="333"/>
      <c r="G45" s="324"/>
    </row>
    <row r="46" spans="1:7" s="197" customFormat="1">
      <c r="A46" s="144">
        <f t="shared" si="1"/>
        <v>39</v>
      </c>
      <c r="B46" s="200"/>
      <c r="C46" s="515" t="s">
        <v>799</v>
      </c>
      <c r="D46" s="515"/>
      <c r="F46" s="333"/>
      <c r="G46" s="324"/>
    </row>
    <row r="47" spans="1:7" s="197" customFormat="1">
      <c r="A47" s="144">
        <f t="shared" si="1"/>
        <v>39</v>
      </c>
      <c r="B47" s="200">
        <v>1</v>
      </c>
      <c r="C47" s="222" t="s">
        <v>800</v>
      </c>
      <c r="D47" s="199" t="s">
        <v>801</v>
      </c>
      <c r="F47" s="333"/>
      <c r="G47" s="324"/>
    </row>
    <row r="48" spans="1:7" s="197" customFormat="1" ht="26.4">
      <c r="A48" s="144">
        <f t="shared" si="1"/>
        <v>40</v>
      </c>
      <c r="B48" s="200">
        <v>2</v>
      </c>
      <c r="C48" s="334" t="s">
        <v>775</v>
      </c>
      <c r="D48" s="199" t="s">
        <v>776</v>
      </c>
      <c r="F48" s="333"/>
      <c r="G48" s="324"/>
    </row>
    <row r="49" spans="1:7" s="197" customFormat="1" ht="52.8">
      <c r="A49" s="144">
        <f t="shared" si="1"/>
        <v>42</v>
      </c>
      <c r="B49" s="200">
        <v>1</v>
      </c>
      <c r="C49" s="334" t="s">
        <v>777</v>
      </c>
      <c r="D49" s="199" t="s">
        <v>778</v>
      </c>
      <c r="F49" s="333" t="s">
        <v>779</v>
      </c>
      <c r="G49" s="324" t="s">
        <v>780</v>
      </c>
    </row>
    <row r="50" spans="1:7" s="197" customFormat="1" ht="52.8">
      <c r="A50" s="144">
        <f t="shared" si="1"/>
        <v>43</v>
      </c>
      <c r="B50" s="200">
        <v>1</v>
      </c>
      <c r="C50" s="334" t="s">
        <v>781</v>
      </c>
      <c r="D50" s="199" t="s">
        <v>778</v>
      </c>
      <c r="F50" s="333" t="s">
        <v>779</v>
      </c>
      <c r="G50" s="324" t="s">
        <v>780</v>
      </c>
    </row>
    <row r="51" spans="1:7" s="197" customFormat="1" ht="285">
      <c r="A51" s="144">
        <f t="shared" si="1"/>
        <v>44</v>
      </c>
      <c r="B51" s="200">
        <v>1</v>
      </c>
      <c r="C51" s="10" t="s">
        <v>493</v>
      </c>
      <c r="D51" s="127" t="s">
        <v>494</v>
      </c>
      <c r="F51" s="333"/>
      <c r="G51" s="324"/>
    </row>
    <row r="52" spans="1:7" s="197" customFormat="1" ht="39.6">
      <c r="A52" s="144">
        <f t="shared" si="1"/>
        <v>45</v>
      </c>
      <c r="B52" s="200">
        <v>1</v>
      </c>
      <c r="C52" s="219" t="s">
        <v>782</v>
      </c>
      <c r="D52" s="199" t="s">
        <v>783</v>
      </c>
      <c r="F52" s="333"/>
      <c r="G52" s="324"/>
    </row>
    <row r="53" spans="1:7" s="197" customFormat="1" ht="26.4">
      <c r="A53" s="144">
        <f t="shared" si="1"/>
        <v>46</v>
      </c>
      <c r="B53" s="200">
        <v>1</v>
      </c>
      <c r="C53" s="219" t="s">
        <v>784</v>
      </c>
      <c r="D53" s="199" t="s">
        <v>785</v>
      </c>
      <c r="F53" s="333"/>
      <c r="G53" s="324"/>
    </row>
    <row r="54" spans="1:7" s="197" customFormat="1" ht="39.6">
      <c r="A54" s="144">
        <f t="shared" si="1"/>
        <v>47</v>
      </c>
      <c r="B54" s="200">
        <v>1</v>
      </c>
      <c r="C54" s="219" t="s">
        <v>786</v>
      </c>
      <c r="D54" s="199" t="s">
        <v>802</v>
      </c>
      <c r="F54" s="333"/>
      <c r="G54" s="324"/>
    </row>
    <row r="55" spans="1:7" s="197" customFormat="1" ht="52.8">
      <c r="A55" s="144">
        <f t="shared" si="1"/>
        <v>48</v>
      </c>
      <c r="B55" s="200">
        <v>1</v>
      </c>
      <c r="C55" s="219" t="s">
        <v>788</v>
      </c>
      <c r="D55" s="199" t="s">
        <v>803</v>
      </c>
      <c r="F55" s="333"/>
      <c r="G55" s="324"/>
    </row>
    <row r="56" spans="1:7" s="197" customFormat="1" ht="39.6">
      <c r="A56" s="144">
        <f t="shared" si="1"/>
        <v>49</v>
      </c>
      <c r="B56" s="200">
        <v>1</v>
      </c>
      <c r="C56" s="219" t="s">
        <v>790</v>
      </c>
      <c r="D56" s="199" t="s">
        <v>804</v>
      </c>
      <c r="F56" s="333"/>
      <c r="G56" s="324"/>
    </row>
    <row r="57" spans="1:7" s="197" customFormat="1" ht="52.8">
      <c r="A57" s="144">
        <f t="shared" si="1"/>
        <v>50</v>
      </c>
      <c r="B57" s="200">
        <v>1</v>
      </c>
      <c r="C57" s="219" t="s">
        <v>792</v>
      </c>
      <c r="D57" s="199" t="s">
        <v>805</v>
      </c>
      <c r="F57" s="333"/>
      <c r="G57" s="324"/>
    </row>
    <row r="58" spans="1:7" s="197" customFormat="1" ht="66">
      <c r="A58" s="144">
        <f t="shared" si="1"/>
        <v>51</v>
      </c>
      <c r="B58" s="200">
        <v>1</v>
      </c>
      <c r="C58" s="219" t="s">
        <v>794</v>
      </c>
      <c r="D58" s="199" t="s">
        <v>806</v>
      </c>
      <c r="F58" s="333"/>
      <c r="G58" s="324"/>
    </row>
    <row r="59" spans="1:7" s="197" customFormat="1" ht="26.4">
      <c r="A59" s="144">
        <f t="shared" si="1"/>
        <v>52</v>
      </c>
      <c r="B59" s="200">
        <v>2</v>
      </c>
      <c r="C59" s="219" t="s">
        <v>796</v>
      </c>
      <c r="D59" s="199" t="s">
        <v>776</v>
      </c>
      <c r="F59" s="333"/>
      <c r="G59" s="324"/>
    </row>
    <row r="60" spans="1:7" s="197" customFormat="1" ht="52.8">
      <c r="A60" s="144">
        <f t="shared" si="1"/>
        <v>54</v>
      </c>
      <c r="B60" s="200">
        <v>16</v>
      </c>
      <c r="C60" s="219" t="s">
        <v>797</v>
      </c>
      <c r="D60" s="199" t="s">
        <v>807</v>
      </c>
      <c r="F60" s="333"/>
      <c r="G60" s="324"/>
    </row>
    <row r="61" spans="1:7" s="197" customFormat="1">
      <c r="A61" s="144">
        <f t="shared" si="1"/>
        <v>70</v>
      </c>
      <c r="B61" s="200"/>
      <c r="C61" s="515" t="s">
        <v>808</v>
      </c>
      <c r="D61" s="515"/>
      <c r="F61" s="333"/>
      <c r="G61" s="324"/>
    </row>
    <row r="62" spans="1:7" s="197" customFormat="1">
      <c r="A62" s="144">
        <f t="shared" si="1"/>
        <v>70</v>
      </c>
      <c r="B62" s="200">
        <v>1</v>
      </c>
      <c r="C62" s="222" t="s">
        <v>809</v>
      </c>
      <c r="D62" s="199" t="s">
        <v>810</v>
      </c>
      <c r="F62" s="333"/>
      <c r="G62" s="324"/>
    </row>
    <row r="63" spans="1:7" s="197" customFormat="1" ht="26.4">
      <c r="A63" s="144">
        <f t="shared" si="1"/>
        <v>71</v>
      </c>
      <c r="B63" s="200">
        <v>2</v>
      </c>
      <c r="C63" s="334" t="s">
        <v>775</v>
      </c>
      <c r="D63" s="199" t="s">
        <v>776</v>
      </c>
      <c r="F63" s="333"/>
      <c r="G63" s="324"/>
    </row>
    <row r="64" spans="1:7" s="197" customFormat="1" ht="52.8">
      <c r="A64" s="144">
        <f t="shared" si="1"/>
        <v>73</v>
      </c>
      <c r="B64" s="200">
        <v>1</v>
      </c>
      <c r="C64" s="334" t="s">
        <v>777</v>
      </c>
      <c r="D64" s="199" t="s">
        <v>778</v>
      </c>
      <c r="F64" s="333" t="s">
        <v>779</v>
      </c>
      <c r="G64" s="324" t="s">
        <v>780</v>
      </c>
    </row>
    <row r="65" spans="1:7" s="197" customFormat="1" ht="52.8">
      <c r="A65" s="144">
        <f t="shared" si="1"/>
        <v>74</v>
      </c>
      <c r="B65" s="200">
        <v>1</v>
      </c>
      <c r="C65" s="334" t="s">
        <v>781</v>
      </c>
      <c r="D65" s="199" t="s">
        <v>778</v>
      </c>
      <c r="F65" s="333" t="s">
        <v>779</v>
      </c>
      <c r="G65" s="324" t="s">
        <v>780</v>
      </c>
    </row>
    <row r="66" spans="1:7" s="197" customFormat="1" ht="285">
      <c r="A66" s="144">
        <f t="shared" si="1"/>
        <v>75</v>
      </c>
      <c r="B66" s="200">
        <v>1</v>
      </c>
      <c r="C66" s="10" t="s">
        <v>493</v>
      </c>
      <c r="D66" s="127" t="s">
        <v>494</v>
      </c>
      <c r="F66" s="333"/>
      <c r="G66" s="324"/>
    </row>
    <row r="67" spans="1:7" s="197" customFormat="1" ht="39.6">
      <c r="A67" s="144">
        <f t="shared" si="1"/>
        <v>76</v>
      </c>
      <c r="B67" s="200">
        <v>1</v>
      </c>
      <c r="C67" s="219" t="s">
        <v>782</v>
      </c>
      <c r="D67" s="199" t="s">
        <v>783</v>
      </c>
      <c r="F67" s="333"/>
      <c r="G67" s="324"/>
    </row>
    <row r="68" spans="1:7" s="197" customFormat="1" ht="26.4">
      <c r="A68" s="144">
        <f t="shared" si="1"/>
        <v>77</v>
      </c>
      <c r="B68" s="200">
        <v>1</v>
      </c>
      <c r="C68" s="219" t="s">
        <v>784</v>
      </c>
      <c r="D68" s="199" t="s">
        <v>785</v>
      </c>
      <c r="F68" s="333"/>
      <c r="G68" s="324"/>
    </row>
    <row r="69" spans="1:7" s="197" customFormat="1" ht="39.6">
      <c r="A69" s="144">
        <f t="shared" si="1"/>
        <v>78</v>
      </c>
      <c r="B69" s="200">
        <v>1</v>
      </c>
      <c r="C69" s="219" t="s">
        <v>786</v>
      </c>
      <c r="D69" s="199" t="s">
        <v>811</v>
      </c>
      <c r="F69" s="333"/>
      <c r="G69" s="324"/>
    </row>
    <row r="70" spans="1:7" s="197" customFormat="1" ht="52.8">
      <c r="A70" s="144">
        <f t="shared" si="1"/>
        <v>79</v>
      </c>
      <c r="B70" s="200">
        <v>1</v>
      </c>
      <c r="C70" s="219" t="s">
        <v>788</v>
      </c>
      <c r="D70" s="199" t="s">
        <v>812</v>
      </c>
      <c r="F70" s="333"/>
      <c r="G70" s="324"/>
    </row>
    <row r="71" spans="1:7" s="197" customFormat="1" ht="39.6">
      <c r="A71" s="144">
        <f t="shared" si="1"/>
        <v>80</v>
      </c>
      <c r="B71" s="200">
        <v>1</v>
      </c>
      <c r="C71" s="219" t="s">
        <v>790</v>
      </c>
      <c r="D71" s="199" t="s">
        <v>813</v>
      </c>
      <c r="F71" s="333"/>
      <c r="G71" s="324"/>
    </row>
    <row r="72" spans="1:7" s="197" customFormat="1" ht="52.8">
      <c r="A72" s="144">
        <f t="shared" si="1"/>
        <v>81</v>
      </c>
      <c r="B72" s="200">
        <v>1</v>
      </c>
      <c r="C72" s="219" t="s">
        <v>792</v>
      </c>
      <c r="D72" s="199" t="s">
        <v>814</v>
      </c>
      <c r="F72" s="333"/>
      <c r="G72" s="324"/>
    </row>
    <row r="73" spans="1:7" s="197" customFormat="1" ht="66">
      <c r="A73" s="144">
        <f t="shared" si="1"/>
        <v>82</v>
      </c>
      <c r="B73" s="200">
        <v>1</v>
      </c>
      <c r="C73" s="219" t="s">
        <v>794</v>
      </c>
      <c r="D73" s="199" t="s">
        <v>815</v>
      </c>
      <c r="F73" s="333"/>
      <c r="G73" s="324"/>
    </row>
    <row r="74" spans="1:7" s="197" customFormat="1" ht="26.4">
      <c r="A74" s="144">
        <f t="shared" si="1"/>
        <v>83</v>
      </c>
      <c r="B74" s="200">
        <v>2</v>
      </c>
      <c r="C74" s="219" t="s">
        <v>796</v>
      </c>
      <c r="D74" s="199" t="s">
        <v>776</v>
      </c>
      <c r="F74" s="333"/>
      <c r="G74" s="324"/>
    </row>
    <row r="75" spans="1:7" s="197" customFormat="1" ht="52.8">
      <c r="A75" s="144">
        <f t="shared" si="1"/>
        <v>85</v>
      </c>
      <c r="B75" s="200">
        <v>16</v>
      </c>
      <c r="C75" s="219" t="s">
        <v>797</v>
      </c>
      <c r="D75" s="199" t="s">
        <v>816</v>
      </c>
      <c r="F75" s="333"/>
      <c r="G75" s="324"/>
    </row>
    <row r="76" spans="1:7" s="197" customFormat="1">
      <c r="A76" s="144">
        <f t="shared" si="1"/>
        <v>101</v>
      </c>
      <c r="B76" s="200"/>
      <c r="C76" s="515" t="s">
        <v>817</v>
      </c>
      <c r="D76" s="515"/>
      <c r="F76" s="333"/>
      <c r="G76" s="324"/>
    </row>
    <row r="77" spans="1:7" s="197" customFormat="1">
      <c r="A77" s="144">
        <f t="shared" si="1"/>
        <v>101</v>
      </c>
      <c r="B77" s="200">
        <v>2</v>
      </c>
      <c r="C77" s="222" t="s">
        <v>818</v>
      </c>
      <c r="D77" s="199" t="s">
        <v>819</v>
      </c>
      <c r="F77" s="333"/>
      <c r="G77" s="324"/>
    </row>
    <row r="78" spans="1:7" s="197" customFormat="1" ht="132">
      <c r="A78" s="144">
        <f t="shared" si="1"/>
        <v>103</v>
      </c>
      <c r="B78" s="200">
        <v>1</v>
      </c>
      <c r="C78" s="222" t="s">
        <v>820</v>
      </c>
      <c r="D78" s="199" t="s">
        <v>385</v>
      </c>
      <c r="F78" s="333"/>
      <c r="G78" s="324"/>
    </row>
    <row r="79" spans="1:7" s="197" customFormat="1" ht="307.95" customHeight="1">
      <c r="A79" s="144">
        <f t="shared" si="1"/>
        <v>104</v>
      </c>
      <c r="B79" s="200">
        <v>1</v>
      </c>
      <c r="C79" s="200" t="s">
        <v>747</v>
      </c>
      <c r="D79" s="328" t="s">
        <v>381</v>
      </c>
      <c r="F79" s="333" t="s">
        <v>748</v>
      </c>
      <c r="G79" s="324" t="s">
        <v>167</v>
      </c>
    </row>
    <row r="80" spans="1:7" s="197" customFormat="1" ht="52.8">
      <c r="A80" s="144">
        <f t="shared" si="1"/>
        <v>105</v>
      </c>
      <c r="B80" s="200">
        <v>16</v>
      </c>
      <c r="C80" s="219" t="s">
        <v>797</v>
      </c>
      <c r="D80" s="199" t="s">
        <v>821</v>
      </c>
      <c r="F80" s="333"/>
      <c r="G80" s="324"/>
    </row>
    <row r="81" spans="1:7" s="197" customFormat="1">
      <c r="A81" s="144">
        <f t="shared" si="1"/>
        <v>121</v>
      </c>
      <c r="B81" s="200">
        <v>20</v>
      </c>
      <c r="C81" s="222" t="s">
        <v>420</v>
      </c>
      <c r="D81" s="199" t="s">
        <v>822</v>
      </c>
      <c r="F81" s="333"/>
      <c r="G81" s="324"/>
    </row>
    <row r="82" spans="1:7" s="197" customFormat="1">
      <c r="A82" s="144">
        <f t="shared" si="1"/>
        <v>141</v>
      </c>
      <c r="B82" s="200">
        <v>20</v>
      </c>
      <c r="C82" s="222" t="s">
        <v>422</v>
      </c>
      <c r="D82" s="199" t="s">
        <v>823</v>
      </c>
      <c r="F82" s="333"/>
      <c r="G82" s="324"/>
    </row>
    <row r="83" spans="1:7" s="197" customFormat="1">
      <c r="A83" s="144">
        <f t="shared" si="1"/>
        <v>161</v>
      </c>
      <c r="B83" s="200">
        <v>20</v>
      </c>
      <c r="C83" s="222" t="s">
        <v>423</v>
      </c>
      <c r="D83" s="199" t="s">
        <v>824</v>
      </c>
      <c r="F83" s="333"/>
      <c r="G83" s="324"/>
    </row>
    <row r="84" spans="1:7" s="197" customFormat="1">
      <c r="A84" s="144">
        <f t="shared" si="1"/>
        <v>181</v>
      </c>
      <c r="B84" s="200">
        <v>20</v>
      </c>
      <c r="C84" s="222" t="s">
        <v>424</v>
      </c>
      <c r="D84" s="199" t="s">
        <v>825</v>
      </c>
      <c r="F84" s="333"/>
      <c r="G84" s="324"/>
    </row>
    <row r="85" spans="1:7" s="197" customFormat="1">
      <c r="A85" s="144">
        <f t="shared" si="1"/>
        <v>201</v>
      </c>
      <c r="B85" s="200">
        <v>20</v>
      </c>
      <c r="C85" s="222" t="s">
        <v>425</v>
      </c>
      <c r="D85" s="199" t="s">
        <v>826</v>
      </c>
      <c r="F85" s="333"/>
      <c r="G85" s="324"/>
    </row>
    <row r="86" spans="1:7" s="197" customFormat="1">
      <c r="A86" s="144">
        <f t="shared" si="1"/>
        <v>221</v>
      </c>
      <c r="B86" s="200">
        <v>20</v>
      </c>
      <c r="C86" s="222" t="s">
        <v>426</v>
      </c>
      <c r="D86" s="199" t="s">
        <v>827</v>
      </c>
      <c r="F86" s="333"/>
      <c r="G86" s="324"/>
    </row>
    <row r="87" spans="1:7" s="197" customFormat="1">
      <c r="A87" s="144">
        <f t="shared" si="1"/>
        <v>241</v>
      </c>
      <c r="B87" s="200">
        <v>20</v>
      </c>
      <c r="C87" s="222" t="s">
        <v>427</v>
      </c>
      <c r="D87" s="199" t="s">
        <v>828</v>
      </c>
      <c r="F87" s="333"/>
      <c r="G87" s="324"/>
    </row>
    <row r="88" spans="1:7" s="197" customFormat="1">
      <c r="A88" s="144">
        <f t="shared" si="1"/>
        <v>261</v>
      </c>
      <c r="B88" s="200">
        <v>20</v>
      </c>
      <c r="C88" s="222" t="s">
        <v>428</v>
      </c>
      <c r="D88" s="199" t="s">
        <v>829</v>
      </c>
      <c r="F88" s="333"/>
      <c r="G88" s="324"/>
    </row>
    <row r="89" spans="1:7" s="197" customFormat="1">
      <c r="A89" s="144">
        <f t="shared" si="1"/>
        <v>281</v>
      </c>
      <c r="B89" s="200">
        <v>20</v>
      </c>
      <c r="C89" s="222" t="s">
        <v>429</v>
      </c>
      <c r="D89" s="199" t="s">
        <v>830</v>
      </c>
      <c r="F89" s="333"/>
      <c r="G89" s="324"/>
    </row>
    <row r="90" spans="1:7" s="197" customFormat="1">
      <c r="A90" s="144">
        <f t="shared" si="1"/>
        <v>301</v>
      </c>
      <c r="B90" s="200">
        <v>20</v>
      </c>
      <c r="C90" s="222" t="s">
        <v>430</v>
      </c>
      <c r="D90" s="199" t="s">
        <v>831</v>
      </c>
      <c r="F90" s="333"/>
      <c r="G90" s="324"/>
    </row>
    <row r="91" spans="1:7" s="197" customFormat="1">
      <c r="A91" s="144">
        <f t="shared" si="1"/>
        <v>321</v>
      </c>
      <c r="B91" s="200">
        <v>20</v>
      </c>
      <c r="C91" s="222" t="s">
        <v>431</v>
      </c>
      <c r="D91" s="199" t="s">
        <v>832</v>
      </c>
      <c r="F91" s="333"/>
      <c r="G91" s="324"/>
    </row>
    <row r="92" spans="1:7" s="197" customFormat="1">
      <c r="A92" s="144">
        <f t="shared" si="1"/>
        <v>341</v>
      </c>
      <c r="B92" s="200">
        <v>20</v>
      </c>
      <c r="C92" s="222" t="s">
        <v>432</v>
      </c>
      <c r="D92" s="199" t="s">
        <v>833</v>
      </c>
      <c r="F92" s="333"/>
      <c r="G92" s="324"/>
    </row>
    <row r="93" spans="1:7" s="197" customFormat="1">
      <c r="A93" s="144">
        <f t="shared" si="1"/>
        <v>361</v>
      </c>
      <c r="B93" s="200">
        <v>20</v>
      </c>
      <c r="C93" s="222" t="s">
        <v>433</v>
      </c>
      <c r="D93" s="199" t="s">
        <v>834</v>
      </c>
      <c r="F93" s="333"/>
      <c r="G93" s="324"/>
    </row>
    <row r="94" spans="1:7" s="197" customFormat="1">
      <c r="A94" s="144">
        <f t="shared" si="1"/>
        <v>381</v>
      </c>
      <c r="B94" s="200">
        <v>20</v>
      </c>
      <c r="C94" s="222" t="s">
        <v>434</v>
      </c>
      <c r="D94" s="199" t="s">
        <v>835</v>
      </c>
      <c r="F94" s="333"/>
      <c r="G94" s="324"/>
    </row>
    <row r="95" spans="1:7" s="197" customFormat="1">
      <c r="A95" s="144">
        <f t="shared" si="1"/>
        <v>401</v>
      </c>
      <c r="B95" s="200">
        <v>20</v>
      </c>
      <c r="C95" s="222" t="s">
        <v>435</v>
      </c>
      <c r="D95" s="199" t="s">
        <v>836</v>
      </c>
      <c r="F95" s="333"/>
      <c r="G95" s="324"/>
    </row>
    <row r="96" spans="1:7" s="197" customFormat="1">
      <c r="A96" s="144">
        <f t="shared" si="1"/>
        <v>421</v>
      </c>
      <c r="B96" s="200">
        <v>20</v>
      </c>
      <c r="C96" s="222" t="s">
        <v>436</v>
      </c>
      <c r="D96" s="199" t="s">
        <v>837</v>
      </c>
      <c r="F96" s="333"/>
      <c r="G96" s="324"/>
    </row>
    <row r="97" spans="1:7" s="197" customFormat="1">
      <c r="A97" s="144">
        <f t="shared" si="1"/>
        <v>441</v>
      </c>
      <c r="B97" s="200">
        <v>20</v>
      </c>
      <c r="C97" s="222" t="s">
        <v>437</v>
      </c>
      <c r="D97" s="199" t="s">
        <v>838</v>
      </c>
      <c r="F97" s="333"/>
      <c r="G97" s="324"/>
    </row>
    <row r="98" spans="1:7" s="197" customFormat="1">
      <c r="A98" s="144">
        <f t="shared" si="1"/>
        <v>461</v>
      </c>
      <c r="B98" s="200">
        <v>20</v>
      </c>
      <c r="C98" s="222" t="s">
        <v>438</v>
      </c>
      <c r="D98" s="199" t="s">
        <v>839</v>
      </c>
      <c r="F98" s="333"/>
      <c r="G98" s="324"/>
    </row>
    <row r="99" spans="1:7" s="197" customFormat="1">
      <c r="A99" s="144">
        <f t="shared" si="1"/>
        <v>481</v>
      </c>
      <c r="B99" s="200">
        <v>20</v>
      </c>
      <c r="C99" s="222" t="s">
        <v>439</v>
      </c>
      <c r="D99" s="199" t="s">
        <v>840</v>
      </c>
      <c r="F99" s="333"/>
      <c r="G99" s="324"/>
    </row>
    <row r="100" spans="1:7" s="197" customFormat="1">
      <c r="A100" s="144">
        <f t="shared" si="1"/>
        <v>501</v>
      </c>
      <c r="B100" s="200">
        <v>20</v>
      </c>
      <c r="C100" s="222" t="s">
        <v>440</v>
      </c>
      <c r="D100" s="199" t="s">
        <v>841</v>
      </c>
      <c r="F100" s="333"/>
      <c r="G100" s="324"/>
    </row>
    <row r="101" spans="1:7" s="197" customFormat="1">
      <c r="A101" s="144">
        <f t="shared" si="1"/>
        <v>521</v>
      </c>
      <c r="B101" s="200">
        <v>20</v>
      </c>
      <c r="C101" s="222" t="s">
        <v>441</v>
      </c>
      <c r="D101" s="199" t="s">
        <v>842</v>
      </c>
      <c r="F101" s="333"/>
      <c r="G101" s="324"/>
    </row>
    <row r="102" spans="1:7" s="197" customFormat="1">
      <c r="A102" s="144">
        <f t="shared" si="1"/>
        <v>541</v>
      </c>
      <c r="B102" s="200">
        <v>20</v>
      </c>
      <c r="C102" s="222" t="s">
        <v>442</v>
      </c>
      <c r="D102" s="199" t="s">
        <v>843</v>
      </c>
      <c r="F102" s="333"/>
      <c r="G102" s="324"/>
    </row>
    <row r="103" spans="1:7" s="197" customFormat="1">
      <c r="A103" s="144">
        <f t="shared" si="1"/>
        <v>561</v>
      </c>
      <c r="B103" s="200">
        <v>20</v>
      </c>
      <c r="C103" s="222" t="s">
        <v>443</v>
      </c>
      <c r="D103" s="199" t="s">
        <v>844</v>
      </c>
      <c r="F103" s="333"/>
      <c r="G103" s="324"/>
    </row>
    <row r="104" spans="1:7" s="197" customFormat="1">
      <c r="A104" s="144">
        <f t="shared" si="1"/>
        <v>581</v>
      </c>
      <c r="B104" s="200">
        <v>20</v>
      </c>
      <c r="C104" s="222" t="s">
        <v>444</v>
      </c>
      <c r="D104" s="199" t="s">
        <v>845</v>
      </c>
      <c r="F104" s="333"/>
      <c r="G104" s="324"/>
    </row>
    <row r="105" spans="1:7" s="197" customFormat="1">
      <c r="A105" s="144">
        <f t="shared" si="1"/>
        <v>601</v>
      </c>
      <c r="B105" s="200">
        <v>20</v>
      </c>
      <c r="C105" s="222" t="s">
        <v>445</v>
      </c>
      <c r="D105" s="199" t="s">
        <v>846</v>
      </c>
      <c r="F105" s="333"/>
      <c r="G105" s="324"/>
    </row>
    <row r="106" spans="1:7" s="197" customFormat="1">
      <c r="A106" s="144">
        <f t="shared" si="1"/>
        <v>621</v>
      </c>
      <c r="B106" s="200">
        <v>20</v>
      </c>
      <c r="C106" s="222" t="s">
        <v>446</v>
      </c>
      <c r="D106" s="199" t="s">
        <v>847</v>
      </c>
      <c r="F106" s="333"/>
      <c r="G106" s="324"/>
    </row>
    <row r="107" spans="1:7" s="197" customFormat="1">
      <c r="A107" s="144">
        <f t="shared" si="1"/>
        <v>641</v>
      </c>
      <c r="B107" s="200">
        <v>20</v>
      </c>
      <c r="C107" s="222" t="s">
        <v>447</v>
      </c>
      <c r="D107" s="199" t="s">
        <v>848</v>
      </c>
      <c r="F107" s="333"/>
      <c r="G107" s="324"/>
    </row>
    <row r="108" spans="1:7" s="197" customFormat="1">
      <c r="A108" s="144">
        <f t="shared" si="1"/>
        <v>661</v>
      </c>
      <c r="B108" s="200">
        <v>20</v>
      </c>
      <c r="C108" s="222" t="s">
        <v>448</v>
      </c>
      <c r="D108" s="199" t="s">
        <v>849</v>
      </c>
      <c r="F108" s="333"/>
      <c r="G108" s="324"/>
    </row>
    <row r="109" spans="1:7" s="197" customFormat="1">
      <c r="A109" s="144">
        <f t="shared" si="1"/>
        <v>681</v>
      </c>
      <c r="B109" s="200">
        <v>20</v>
      </c>
      <c r="C109" s="222" t="s">
        <v>449</v>
      </c>
      <c r="D109" s="199" t="s">
        <v>850</v>
      </c>
      <c r="F109" s="333"/>
      <c r="G109" s="324"/>
    </row>
    <row r="110" spans="1:7" s="197" customFormat="1">
      <c r="A110" s="144">
        <f t="shared" si="1"/>
        <v>701</v>
      </c>
      <c r="B110" s="200">
        <v>20</v>
      </c>
      <c r="C110" s="222" t="s">
        <v>450</v>
      </c>
      <c r="D110" s="199" t="s">
        <v>851</v>
      </c>
      <c r="F110" s="333"/>
      <c r="G110" s="324"/>
    </row>
    <row r="111" spans="1:7" s="197" customFormat="1">
      <c r="A111" s="144">
        <f t="shared" si="1"/>
        <v>721</v>
      </c>
      <c r="B111" s="200">
        <v>20</v>
      </c>
      <c r="C111" s="222" t="s">
        <v>451</v>
      </c>
      <c r="D111" s="199" t="s">
        <v>852</v>
      </c>
      <c r="F111" s="333"/>
      <c r="G111" s="324"/>
    </row>
    <row r="112" spans="1:7" s="197" customFormat="1">
      <c r="A112" s="144">
        <f t="shared" si="1"/>
        <v>741</v>
      </c>
      <c r="B112" s="200">
        <v>20</v>
      </c>
      <c r="C112" s="222" t="s">
        <v>452</v>
      </c>
      <c r="D112" s="199" t="s">
        <v>853</v>
      </c>
      <c r="F112" s="333"/>
      <c r="G112" s="324"/>
    </row>
    <row r="113" spans="1:7" s="197" customFormat="1">
      <c r="A113" s="144">
        <f t="shared" si="1"/>
        <v>761</v>
      </c>
      <c r="B113" s="200">
        <v>20</v>
      </c>
      <c r="C113" s="222" t="s">
        <v>453</v>
      </c>
      <c r="D113" s="199" t="s">
        <v>854</v>
      </c>
      <c r="F113" s="333"/>
      <c r="G113" s="324"/>
    </row>
    <row r="114" spans="1:7" s="197" customFormat="1">
      <c r="A114" s="144">
        <f t="shared" si="1"/>
        <v>781</v>
      </c>
      <c r="B114" s="200">
        <v>20</v>
      </c>
      <c r="C114" s="222" t="s">
        <v>454</v>
      </c>
      <c r="D114" s="199" t="s">
        <v>855</v>
      </c>
      <c r="F114" s="333"/>
      <c r="G114" s="324"/>
    </row>
    <row r="115" spans="1:7" s="197" customFormat="1">
      <c r="A115" s="144">
        <f t="shared" si="1"/>
        <v>801</v>
      </c>
      <c r="B115" s="200">
        <v>20</v>
      </c>
      <c r="C115" s="222" t="s">
        <v>455</v>
      </c>
      <c r="D115" s="199" t="s">
        <v>856</v>
      </c>
      <c r="F115" s="333"/>
      <c r="G115" s="324"/>
    </row>
    <row r="116" spans="1:7" s="197" customFormat="1">
      <c r="A116" s="144">
        <f t="shared" si="1"/>
        <v>821</v>
      </c>
      <c r="B116" s="200">
        <v>20</v>
      </c>
      <c r="C116" s="222" t="s">
        <v>456</v>
      </c>
      <c r="D116" s="199" t="s">
        <v>857</v>
      </c>
      <c r="F116" s="333"/>
      <c r="G116" s="324"/>
    </row>
    <row r="117" spans="1:7" s="197" customFormat="1">
      <c r="A117" s="144">
        <f t="shared" si="1"/>
        <v>841</v>
      </c>
      <c r="B117" s="200">
        <v>20</v>
      </c>
      <c r="C117" s="222" t="s">
        <v>457</v>
      </c>
      <c r="D117" s="199" t="s">
        <v>858</v>
      </c>
      <c r="F117" s="333"/>
      <c r="G117" s="324"/>
    </row>
    <row r="118" spans="1:7" s="197" customFormat="1">
      <c r="A118" s="144">
        <f t="shared" si="1"/>
        <v>861</v>
      </c>
      <c r="B118" s="200">
        <v>20</v>
      </c>
      <c r="C118" s="222" t="s">
        <v>458</v>
      </c>
      <c r="D118" s="199" t="s">
        <v>859</v>
      </c>
      <c r="F118" s="333"/>
      <c r="G118" s="324"/>
    </row>
    <row r="119" spans="1:7" s="197" customFormat="1">
      <c r="A119" s="144">
        <f t="shared" si="1"/>
        <v>881</v>
      </c>
      <c r="B119" s="200">
        <v>20</v>
      </c>
      <c r="C119" s="222" t="s">
        <v>459</v>
      </c>
      <c r="D119" s="199" t="s">
        <v>860</v>
      </c>
      <c r="F119" s="333"/>
      <c r="G119" s="324"/>
    </row>
    <row r="120" spans="1:7" s="197" customFormat="1">
      <c r="A120" s="144">
        <f t="shared" si="1"/>
        <v>901</v>
      </c>
      <c r="B120" s="200">
        <v>20</v>
      </c>
      <c r="C120" s="222" t="s">
        <v>460</v>
      </c>
      <c r="D120" s="199" t="s">
        <v>861</v>
      </c>
      <c r="F120" s="333"/>
      <c r="G120" s="324"/>
    </row>
    <row r="121" spans="1:7" s="197" customFormat="1">
      <c r="A121" s="144">
        <f t="shared" si="1"/>
        <v>921</v>
      </c>
      <c r="B121" s="200">
        <v>20</v>
      </c>
      <c r="C121" s="222" t="s">
        <v>461</v>
      </c>
      <c r="D121" s="199" t="s">
        <v>862</v>
      </c>
      <c r="F121" s="333"/>
      <c r="G121" s="324"/>
    </row>
    <row r="122" spans="1:7" s="197" customFormat="1">
      <c r="A122" s="144">
        <f t="shared" si="1"/>
        <v>941</v>
      </c>
      <c r="B122" s="200">
        <v>20</v>
      </c>
      <c r="C122" s="222" t="s">
        <v>462</v>
      </c>
      <c r="D122" s="199" t="s">
        <v>863</v>
      </c>
      <c r="F122" s="333"/>
      <c r="G122" s="324"/>
    </row>
    <row r="123" spans="1:7" s="197" customFormat="1">
      <c r="A123" s="144">
        <f t="shared" si="1"/>
        <v>961</v>
      </c>
      <c r="B123" s="200">
        <v>20</v>
      </c>
      <c r="C123" s="222" t="s">
        <v>463</v>
      </c>
      <c r="D123" s="199" t="s">
        <v>864</v>
      </c>
      <c r="F123" s="333"/>
      <c r="G123" s="324"/>
    </row>
    <row r="124" spans="1:7" s="197" customFormat="1">
      <c r="A124" s="144">
        <f t="shared" si="1"/>
        <v>981</v>
      </c>
      <c r="B124" s="200">
        <v>20</v>
      </c>
      <c r="C124" s="222" t="s">
        <v>464</v>
      </c>
      <c r="D124" s="199" t="s">
        <v>865</v>
      </c>
      <c r="F124" s="333"/>
      <c r="G124" s="324"/>
    </row>
    <row r="125" spans="1:7" s="197" customFormat="1">
      <c r="A125" s="144">
        <f t="shared" si="1"/>
        <v>1001</v>
      </c>
      <c r="B125" s="200">
        <v>20</v>
      </c>
      <c r="C125" s="222" t="s">
        <v>465</v>
      </c>
      <c r="D125" s="199" t="s">
        <v>866</v>
      </c>
      <c r="F125" s="333"/>
      <c r="G125" s="324"/>
    </row>
    <row r="126" spans="1:7" s="197" customFormat="1">
      <c r="A126" s="144">
        <f t="shared" si="1"/>
        <v>1021</v>
      </c>
      <c r="B126" s="200">
        <v>20</v>
      </c>
      <c r="C126" s="222" t="s">
        <v>466</v>
      </c>
      <c r="D126" s="199" t="s">
        <v>867</v>
      </c>
      <c r="F126" s="333"/>
      <c r="G126" s="324"/>
    </row>
    <row r="127" spans="1:7" s="197" customFormat="1">
      <c r="A127" s="144">
        <f t="shared" si="1"/>
        <v>1041</v>
      </c>
      <c r="B127" s="200">
        <v>20</v>
      </c>
      <c r="C127" s="222" t="s">
        <v>467</v>
      </c>
      <c r="D127" s="199" t="s">
        <v>868</v>
      </c>
      <c r="F127" s="333"/>
      <c r="G127" s="324"/>
    </row>
    <row r="128" spans="1:7" s="197" customFormat="1">
      <c r="A128" s="144">
        <f t="shared" si="1"/>
        <v>1061</v>
      </c>
      <c r="B128" s="200">
        <v>20</v>
      </c>
      <c r="C128" s="222" t="s">
        <v>468</v>
      </c>
      <c r="D128" s="199" t="s">
        <v>869</v>
      </c>
      <c r="F128" s="333"/>
      <c r="G128" s="324"/>
    </row>
    <row r="129" spans="1:7" s="197" customFormat="1">
      <c r="A129" s="144">
        <f t="shared" si="1"/>
        <v>1081</v>
      </c>
      <c r="B129" s="200">
        <v>20</v>
      </c>
      <c r="C129" s="222" t="s">
        <v>469</v>
      </c>
      <c r="D129" s="199" t="s">
        <v>870</v>
      </c>
      <c r="F129" s="333"/>
      <c r="G129" s="324"/>
    </row>
    <row r="130" spans="1:7" s="197" customFormat="1">
      <c r="A130" s="144">
        <f t="shared" si="1"/>
        <v>1101</v>
      </c>
      <c r="B130" s="200">
        <v>20</v>
      </c>
      <c r="C130" s="222" t="s">
        <v>470</v>
      </c>
      <c r="D130" s="199" t="s">
        <v>871</v>
      </c>
      <c r="F130" s="333"/>
      <c r="G130" s="324"/>
    </row>
    <row r="131" spans="1:7" s="197" customFormat="1">
      <c r="A131" s="144">
        <f t="shared" si="1"/>
        <v>1121</v>
      </c>
      <c r="B131" s="200">
        <v>20</v>
      </c>
      <c r="C131" s="222" t="s">
        <v>471</v>
      </c>
      <c r="D131" s="199" t="s">
        <v>872</v>
      </c>
      <c r="F131" s="333"/>
      <c r="G131" s="324"/>
    </row>
    <row r="132" spans="1:7" s="197" customFormat="1">
      <c r="A132" s="144">
        <f t="shared" si="1"/>
        <v>1141</v>
      </c>
      <c r="B132" s="200">
        <v>20</v>
      </c>
      <c r="C132" s="222" t="s">
        <v>472</v>
      </c>
      <c r="D132" s="199" t="s">
        <v>873</v>
      </c>
      <c r="F132" s="333"/>
      <c r="G132" s="324"/>
    </row>
    <row r="133" spans="1:7" s="197" customFormat="1">
      <c r="A133" s="144">
        <f t="shared" si="1"/>
        <v>1161</v>
      </c>
      <c r="B133" s="200">
        <v>20</v>
      </c>
      <c r="C133" s="222" t="s">
        <v>473</v>
      </c>
      <c r="D133" s="199" t="s">
        <v>874</v>
      </c>
      <c r="F133" s="333"/>
      <c r="G133" s="324"/>
    </row>
    <row r="134" spans="1:7" s="197" customFormat="1">
      <c r="A134" s="144">
        <f t="shared" si="1"/>
        <v>1181</v>
      </c>
      <c r="B134" s="200">
        <v>20</v>
      </c>
      <c r="C134" s="222" t="s">
        <v>474</v>
      </c>
      <c r="D134" s="199" t="s">
        <v>875</v>
      </c>
      <c r="F134" s="333"/>
      <c r="G134" s="324"/>
    </row>
    <row r="135" spans="1:7" s="197" customFormat="1">
      <c r="A135" s="144">
        <f t="shared" si="1"/>
        <v>1201</v>
      </c>
      <c r="B135" s="200">
        <v>20</v>
      </c>
      <c r="C135" s="222" t="s">
        <v>475</v>
      </c>
      <c r="D135" s="199" t="s">
        <v>876</v>
      </c>
      <c r="F135" s="333"/>
      <c r="G135" s="324"/>
    </row>
    <row r="136" spans="1:7" s="197" customFormat="1">
      <c r="A136" s="144">
        <f t="shared" si="1"/>
        <v>1221</v>
      </c>
      <c r="B136" s="200">
        <v>20</v>
      </c>
      <c r="C136" s="222" t="s">
        <v>476</v>
      </c>
      <c r="D136" s="199" t="s">
        <v>877</v>
      </c>
      <c r="F136" s="333"/>
      <c r="G136" s="324"/>
    </row>
    <row r="137" spans="1:7" s="197" customFormat="1">
      <c r="A137" s="144">
        <f t="shared" si="1"/>
        <v>1241</v>
      </c>
      <c r="B137" s="200">
        <v>20</v>
      </c>
      <c r="C137" s="222" t="s">
        <v>477</v>
      </c>
      <c r="D137" s="199" t="s">
        <v>878</v>
      </c>
      <c r="F137" s="333"/>
      <c r="G137" s="324"/>
    </row>
    <row r="138" spans="1:7" s="197" customFormat="1">
      <c r="A138" s="144">
        <f t="shared" si="1"/>
        <v>1261</v>
      </c>
      <c r="B138" s="200">
        <v>20</v>
      </c>
      <c r="C138" s="222" t="s">
        <v>478</v>
      </c>
      <c r="D138" s="199" t="s">
        <v>879</v>
      </c>
      <c r="F138" s="333"/>
      <c r="G138" s="324"/>
    </row>
    <row r="139" spans="1:7" s="197" customFormat="1">
      <c r="A139" s="144">
        <f t="shared" si="1"/>
        <v>1281</v>
      </c>
      <c r="B139" s="200">
        <v>20</v>
      </c>
      <c r="C139" s="222" t="s">
        <v>479</v>
      </c>
      <c r="D139" s="199" t="s">
        <v>880</v>
      </c>
      <c r="F139" s="333"/>
      <c r="G139" s="324"/>
    </row>
    <row r="140" spans="1:7" s="197" customFormat="1">
      <c r="A140" s="144">
        <f t="shared" si="1"/>
        <v>1301</v>
      </c>
      <c r="B140" s="200">
        <v>20</v>
      </c>
      <c r="C140" s="222" t="s">
        <v>480</v>
      </c>
      <c r="D140" s="199" t="s">
        <v>881</v>
      </c>
      <c r="F140" s="333"/>
      <c r="G140" s="324"/>
    </row>
    <row r="141" spans="1:7" s="197" customFormat="1">
      <c r="A141" s="144">
        <f t="shared" si="1"/>
        <v>1321</v>
      </c>
      <c r="B141" s="200">
        <v>20</v>
      </c>
      <c r="C141" s="222" t="s">
        <v>481</v>
      </c>
      <c r="D141" s="199" t="s">
        <v>882</v>
      </c>
      <c r="F141" s="333"/>
      <c r="G141" s="324"/>
    </row>
    <row r="142" spans="1:7" ht="22.8">
      <c r="A142" s="144">
        <f t="shared" si="1"/>
        <v>1341</v>
      </c>
      <c r="B142" s="144">
        <v>2</v>
      </c>
      <c r="C142" s="144" t="s">
        <v>127</v>
      </c>
      <c r="D142" s="145" t="s">
        <v>128</v>
      </c>
    </row>
    <row r="143" spans="1:7" ht="34.200000000000003">
      <c r="A143" s="144">
        <f t="shared" si="1"/>
        <v>1343</v>
      </c>
      <c r="B143" s="144">
        <v>4</v>
      </c>
      <c r="C143" s="144" t="s">
        <v>129</v>
      </c>
      <c r="D143" s="145" t="s">
        <v>130</v>
      </c>
    </row>
    <row r="144" spans="1:7">
      <c r="A144" s="144">
        <f t="shared" si="1"/>
        <v>1347</v>
      </c>
      <c r="B144" s="144">
        <v>1</v>
      </c>
      <c r="C144" s="144" t="s">
        <v>131</v>
      </c>
      <c r="D144" s="145" t="s">
        <v>132</v>
      </c>
    </row>
    <row r="145" spans="1:2">
      <c r="A145" s="144">
        <f t="shared" si="1"/>
        <v>1348</v>
      </c>
      <c r="B145" s="157" t="s">
        <v>486</v>
      </c>
    </row>
  </sheetData>
  <mergeCells count="8">
    <mergeCell ref="C46:D46"/>
    <mergeCell ref="C61:D61"/>
    <mergeCell ref="C76:D76"/>
    <mergeCell ref="A2:E2"/>
    <mergeCell ref="A4:E4"/>
    <mergeCell ref="A21:E21"/>
    <mergeCell ref="A23:E23"/>
    <mergeCell ref="C31:D31"/>
  </mergeCells>
  <pageMargins left="0.75" right="0.75" top="1" bottom="1" header="0.51111111111111096" footer="0.51111111111111096"/>
  <pageSetup orientation="portrait" horizontalDpi="300" verticalDpi="300"/>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4"/>
  <sheetViews>
    <sheetView topLeftCell="A56" zoomScale="85" zoomScaleNormal="85" workbookViewId="0">
      <selection activeCell="L60" sqref="L60"/>
    </sheetView>
  </sheetViews>
  <sheetFormatPr defaultColWidth="9.109375" defaultRowHeight="13.2"/>
  <cols>
    <col min="1" max="1" width="24.21875" style="144" customWidth="1"/>
    <col min="2" max="2" width="17.6640625" style="144" customWidth="1"/>
    <col min="3" max="3" width="26" style="216" customWidth="1"/>
    <col min="4" max="4" width="36.5546875" style="145" customWidth="1"/>
    <col min="5" max="5" width="31.21875" style="146" customWidth="1"/>
    <col min="6" max="6" width="20" style="317" customWidth="1"/>
    <col min="7" max="7" width="17.33203125" style="317" customWidth="1"/>
    <col min="8" max="8" width="4.5546875" style="146" customWidth="1"/>
    <col min="9" max="9" width="9.109375" style="146" customWidth="1"/>
    <col min="10" max="16384" width="9.109375" style="146"/>
  </cols>
  <sheetData>
    <row r="1" spans="1:7" ht="26.4">
      <c r="A1" s="155"/>
      <c r="B1" s="155"/>
      <c r="F1" s="318" t="s">
        <v>106</v>
      </c>
      <c r="G1" s="319" t="s">
        <v>107</v>
      </c>
    </row>
    <row r="2" spans="1:7" ht="15">
      <c r="A2" s="505" t="s">
        <v>883</v>
      </c>
      <c r="B2" s="505"/>
      <c r="C2" s="505"/>
      <c r="D2" s="505"/>
      <c r="E2" s="505"/>
    </row>
    <row r="4" spans="1:7" s="196" customFormat="1" ht="15">
      <c r="A4" s="505" t="s">
        <v>884</v>
      </c>
      <c r="B4" s="505"/>
      <c r="C4" s="505"/>
      <c r="D4" s="505"/>
      <c r="E4" s="505"/>
      <c r="F4" s="320"/>
      <c r="G4" s="320"/>
    </row>
    <row r="5" spans="1:7" ht="15">
      <c r="A5" s="151"/>
      <c r="B5" s="155"/>
      <c r="D5" s="175"/>
    </row>
    <row r="6" spans="1:7" s="155" customFormat="1" ht="18" customHeight="1">
      <c r="A6" s="152" t="s">
        <v>110</v>
      </c>
      <c r="B6" s="152" t="s">
        <v>111</v>
      </c>
      <c r="C6" s="153" t="s">
        <v>112</v>
      </c>
      <c r="D6" s="168" t="s">
        <v>113</v>
      </c>
      <c r="F6" s="321"/>
      <c r="G6" s="321"/>
    </row>
    <row r="7" spans="1:7">
      <c r="A7" s="144">
        <v>0</v>
      </c>
      <c r="B7" s="144">
        <v>1</v>
      </c>
      <c r="C7" s="216" t="s">
        <v>114</v>
      </c>
      <c r="D7" s="145" t="s">
        <v>115</v>
      </c>
    </row>
    <row r="8" spans="1:7">
      <c r="A8" s="144">
        <f t="shared" ref="A8:A126" si="0">A7+B7</f>
        <v>1</v>
      </c>
      <c r="B8" s="144">
        <v>1</v>
      </c>
      <c r="C8" s="216" t="s">
        <v>885</v>
      </c>
      <c r="D8" s="145" t="s">
        <v>886</v>
      </c>
    </row>
    <row r="9" spans="1:7">
      <c r="A9" s="144">
        <f t="shared" si="0"/>
        <v>2</v>
      </c>
      <c r="B9" s="144">
        <v>1</v>
      </c>
      <c r="C9" s="216" t="s">
        <v>527</v>
      </c>
      <c r="D9" s="145" t="s">
        <v>772</v>
      </c>
    </row>
    <row r="10" spans="1:7" ht="39.6">
      <c r="A10" s="144">
        <f t="shared" si="0"/>
        <v>3</v>
      </c>
      <c r="B10" s="144">
        <v>3</v>
      </c>
      <c r="C10" s="10" t="s">
        <v>120</v>
      </c>
      <c r="D10" s="145" t="str">
        <f>DEC2HEX(A126-5)</f>
        <v>53F</v>
      </c>
      <c r="E10" s="156"/>
    </row>
    <row r="11" spans="1:7" s="197" customFormat="1">
      <c r="A11" s="144">
        <f t="shared" si="0"/>
        <v>6</v>
      </c>
      <c r="B11" s="200">
        <v>2</v>
      </c>
      <c r="C11" s="200" t="s">
        <v>121</v>
      </c>
      <c r="D11" s="201" t="s">
        <v>766</v>
      </c>
      <c r="F11" s="322"/>
      <c r="G11" s="322"/>
    </row>
    <row r="12" spans="1:7" s="197" customFormat="1">
      <c r="A12" s="144">
        <f t="shared" si="0"/>
        <v>8</v>
      </c>
      <c r="B12" s="200"/>
      <c r="C12" s="516" t="s">
        <v>773</v>
      </c>
      <c r="D12" s="516"/>
      <c r="F12" s="322"/>
      <c r="G12" s="322"/>
    </row>
    <row r="13" spans="1:7" s="197" customFormat="1">
      <c r="A13" s="144">
        <f t="shared" si="0"/>
        <v>8</v>
      </c>
      <c r="B13" s="200">
        <v>1</v>
      </c>
      <c r="C13" s="217" t="s">
        <v>41</v>
      </c>
      <c r="D13" s="199" t="s">
        <v>774</v>
      </c>
      <c r="F13" s="322"/>
      <c r="G13" s="322"/>
    </row>
    <row r="14" spans="1:7" s="197" customFormat="1">
      <c r="A14" s="144">
        <f t="shared" si="0"/>
        <v>9</v>
      </c>
      <c r="B14" s="200">
        <v>2</v>
      </c>
      <c r="C14" s="323" t="s">
        <v>775</v>
      </c>
      <c r="D14" s="199" t="s">
        <v>776</v>
      </c>
      <c r="F14" s="322"/>
      <c r="G14" s="322"/>
    </row>
    <row r="15" spans="1:7" s="197" customFormat="1" ht="39.6">
      <c r="A15" s="144">
        <f t="shared" si="0"/>
        <v>11</v>
      </c>
      <c r="B15" s="200">
        <v>1</v>
      </c>
      <c r="C15" s="323" t="s">
        <v>777</v>
      </c>
      <c r="D15" s="199" t="s">
        <v>778</v>
      </c>
      <c r="F15" s="322" t="s">
        <v>779</v>
      </c>
      <c r="G15" s="324" t="s">
        <v>780</v>
      </c>
    </row>
    <row r="16" spans="1:7" s="197" customFormat="1" ht="39.6">
      <c r="A16" s="144">
        <f t="shared" si="0"/>
        <v>12</v>
      </c>
      <c r="B16" s="200">
        <v>1</v>
      </c>
      <c r="C16" s="323" t="s">
        <v>781</v>
      </c>
      <c r="D16" s="199" t="s">
        <v>778</v>
      </c>
      <c r="F16" s="322" t="s">
        <v>779</v>
      </c>
      <c r="G16" s="324" t="s">
        <v>780</v>
      </c>
    </row>
    <row r="17" spans="1:7" s="197" customFormat="1" ht="285">
      <c r="A17" s="144">
        <f t="shared" si="0"/>
        <v>13</v>
      </c>
      <c r="B17" s="200">
        <v>1</v>
      </c>
      <c r="C17" s="325" t="s">
        <v>493</v>
      </c>
      <c r="D17" s="127" t="s">
        <v>494</v>
      </c>
      <c r="F17" s="322"/>
      <c r="G17" s="322"/>
    </row>
    <row r="18" spans="1:7" s="197" customFormat="1" ht="39.6">
      <c r="A18" s="144">
        <f t="shared" si="0"/>
        <v>14</v>
      </c>
      <c r="B18" s="200">
        <v>1</v>
      </c>
      <c r="C18" s="326" t="s">
        <v>782</v>
      </c>
      <c r="D18" s="199" t="s">
        <v>783</v>
      </c>
      <c r="F18" s="322"/>
      <c r="G18" s="322"/>
    </row>
    <row r="19" spans="1:7" s="197" customFormat="1" ht="26.4">
      <c r="A19" s="144">
        <f t="shared" si="0"/>
        <v>15</v>
      </c>
      <c r="B19" s="200">
        <v>1</v>
      </c>
      <c r="C19" s="326" t="s">
        <v>784</v>
      </c>
      <c r="D19" s="199" t="s">
        <v>785</v>
      </c>
      <c r="F19" s="322"/>
      <c r="G19" s="322"/>
    </row>
    <row r="20" spans="1:7" s="197" customFormat="1" ht="39.6">
      <c r="A20" s="144">
        <f t="shared" si="0"/>
        <v>16</v>
      </c>
      <c r="B20" s="200">
        <v>1</v>
      </c>
      <c r="C20" s="326" t="s">
        <v>786</v>
      </c>
      <c r="D20" s="199" t="s">
        <v>887</v>
      </c>
      <c r="F20" s="322"/>
      <c r="G20" s="322"/>
    </row>
    <row r="21" spans="1:7" s="197" customFormat="1" ht="52.8">
      <c r="A21" s="144">
        <f t="shared" si="0"/>
        <v>17</v>
      </c>
      <c r="B21" s="200">
        <v>1</v>
      </c>
      <c r="C21" s="326" t="s">
        <v>788</v>
      </c>
      <c r="D21" s="199" t="s">
        <v>888</v>
      </c>
      <c r="F21" s="322"/>
      <c r="G21" s="322"/>
    </row>
    <row r="22" spans="1:7" s="197" customFormat="1" ht="39.6">
      <c r="A22" s="144">
        <f t="shared" si="0"/>
        <v>18</v>
      </c>
      <c r="B22" s="200">
        <v>1</v>
      </c>
      <c r="C22" s="326" t="s">
        <v>790</v>
      </c>
      <c r="D22" s="199" t="s">
        <v>889</v>
      </c>
      <c r="F22" s="322"/>
      <c r="G22" s="322"/>
    </row>
    <row r="23" spans="1:7" s="197" customFormat="1" ht="52.8">
      <c r="A23" s="144">
        <f t="shared" si="0"/>
        <v>19</v>
      </c>
      <c r="B23" s="200">
        <v>1</v>
      </c>
      <c r="C23" s="326" t="s">
        <v>792</v>
      </c>
      <c r="D23" s="199" t="s">
        <v>890</v>
      </c>
      <c r="F23" s="322"/>
      <c r="G23" s="322"/>
    </row>
    <row r="24" spans="1:7" s="197" customFormat="1" ht="66">
      <c r="A24" s="144">
        <f t="shared" si="0"/>
        <v>20</v>
      </c>
      <c r="B24" s="200">
        <v>1</v>
      </c>
      <c r="C24" s="326" t="s">
        <v>794</v>
      </c>
      <c r="D24" s="199" t="s">
        <v>891</v>
      </c>
      <c r="F24" s="322"/>
      <c r="G24" s="322"/>
    </row>
    <row r="25" spans="1:7" s="197" customFormat="1">
      <c r="A25" s="144">
        <f t="shared" si="0"/>
        <v>21</v>
      </c>
      <c r="B25" s="200">
        <v>2</v>
      </c>
      <c r="C25" s="326" t="s">
        <v>796</v>
      </c>
      <c r="D25" s="199" t="s">
        <v>776</v>
      </c>
      <c r="F25" s="322"/>
      <c r="G25" s="322"/>
    </row>
    <row r="26" spans="1:7" s="197" customFormat="1" ht="52.8">
      <c r="A26" s="144">
        <f t="shared" si="0"/>
        <v>23</v>
      </c>
      <c r="B26" s="200">
        <v>16</v>
      </c>
      <c r="C26" s="226" t="s">
        <v>797</v>
      </c>
      <c r="D26" s="199" t="s">
        <v>892</v>
      </c>
      <c r="F26" s="322"/>
      <c r="G26" s="322"/>
    </row>
    <row r="27" spans="1:7" s="197" customFormat="1">
      <c r="A27" s="144">
        <f t="shared" si="0"/>
        <v>39</v>
      </c>
      <c r="B27" s="200"/>
      <c r="C27" s="516" t="s">
        <v>799</v>
      </c>
      <c r="D27" s="516"/>
      <c r="F27" s="322"/>
      <c r="G27" s="322"/>
    </row>
    <row r="28" spans="1:7" s="197" customFormat="1">
      <c r="A28" s="144">
        <f t="shared" si="0"/>
        <v>39</v>
      </c>
      <c r="B28" s="200">
        <v>1</v>
      </c>
      <c r="C28" s="217" t="s">
        <v>800</v>
      </c>
      <c r="D28" s="199" t="s">
        <v>801</v>
      </c>
      <c r="F28" s="322"/>
      <c r="G28" s="322"/>
    </row>
    <row r="29" spans="1:7" s="197" customFormat="1">
      <c r="A29" s="144">
        <f t="shared" si="0"/>
        <v>40</v>
      </c>
      <c r="B29" s="200">
        <v>2</v>
      </c>
      <c r="C29" s="323" t="s">
        <v>775</v>
      </c>
      <c r="D29" s="199" t="s">
        <v>776</v>
      </c>
      <c r="F29" s="322"/>
      <c r="G29" s="322"/>
    </row>
    <row r="30" spans="1:7" s="197" customFormat="1" ht="39.6">
      <c r="A30" s="144">
        <f t="shared" si="0"/>
        <v>42</v>
      </c>
      <c r="B30" s="200">
        <v>1</v>
      </c>
      <c r="C30" s="323" t="s">
        <v>777</v>
      </c>
      <c r="D30" s="199" t="s">
        <v>778</v>
      </c>
      <c r="F30" s="322" t="s">
        <v>779</v>
      </c>
      <c r="G30" s="324" t="s">
        <v>780</v>
      </c>
    </row>
    <row r="31" spans="1:7" s="197" customFormat="1" ht="39.6">
      <c r="A31" s="144">
        <f t="shared" si="0"/>
        <v>43</v>
      </c>
      <c r="B31" s="200">
        <v>1</v>
      </c>
      <c r="C31" s="323" t="s">
        <v>781</v>
      </c>
      <c r="D31" s="199" t="s">
        <v>778</v>
      </c>
      <c r="F31" s="322" t="s">
        <v>779</v>
      </c>
      <c r="G31" s="324" t="s">
        <v>780</v>
      </c>
    </row>
    <row r="32" spans="1:7" s="197" customFormat="1" ht="285">
      <c r="A32" s="144">
        <f t="shared" si="0"/>
        <v>44</v>
      </c>
      <c r="B32" s="200">
        <v>1</v>
      </c>
      <c r="C32" s="10" t="s">
        <v>493</v>
      </c>
      <c r="D32" s="127" t="s">
        <v>494</v>
      </c>
      <c r="E32" s="327" t="s">
        <v>893</v>
      </c>
      <c r="F32" s="322"/>
      <c r="G32" s="322"/>
    </row>
    <row r="33" spans="1:7" s="197" customFormat="1" ht="39.6">
      <c r="A33" s="144">
        <f t="shared" si="0"/>
        <v>45</v>
      </c>
      <c r="B33" s="200">
        <v>1</v>
      </c>
      <c r="C33" s="326" t="s">
        <v>782</v>
      </c>
      <c r="D33" s="199" t="s">
        <v>783</v>
      </c>
      <c r="F33" s="322"/>
      <c r="G33" s="322"/>
    </row>
    <row r="34" spans="1:7" s="197" customFormat="1" ht="26.4">
      <c r="A34" s="144">
        <f t="shared" si="0"/>
        <v>46</v>
      </c>
      <c r="B34" s="200">
        <v>1</v>
      </c>
      <c r="C34" s="326" t="s">
        <v>784</v>
      </c>
      <c r="D34" s="199" t="s">
        <v>785</v>
      </c>
      <c r="F34" s="322"/>
      <c r="G34" s="322"/>
    </row>
    <row r="35" spans="1:7" s="197" customFormat="1" ht="39.6">
      <c r="A35" s="144">
        <f t="shared" si="0"/>
        <v>47</v>
      </c>
      <c r="B35" s="200">
        <v>1</v>
      </c>
      <c r="C35" s="326" t="s">
        <v>786</v>
      </c>
      <c r="D35" s="199" t="s">
        <v>894</v>
      </c>
      <c r="F35" s="322"/>
      <c r="G35" s="322"/>
    </row>
    <row r="36" spans="1:7" s="197" customFormat="1" ht="52.8">
      <c r="A36" s="144">
        <f t="shared" si="0"/>
        <v>48</v>
      </c>
      <c r="B36" s="200">
        <v>1</v>
      </c>
      <c r="C36" s="326" t="s">
        <v>788</v>
      </c>
      <c r="D36" s="199" t="s">
        <v>895</v>
      </c>
      <c r="F36" s="322"/>
      <c r="G36" s="322"/>
    </row>
    <row r="37" spans="1:7" s="197" customFormat="1" ht="39.6">
      <c r="A37" s="144">
        <f t="shared" si="0"/>
        <v>49</v>
      </c>
      <c r="B37" s="200">
        <v>1</v>
      </c>
      <c r="C37" s="326" t="s">
        <v>790</v>
      </c>
      <c r="D37" s="199" t="s">
        <v>896</v>
      </c>
      <c r="F37" s="322"/>
      <c r="G37" s="322"/>
    </row>
    <row r="38" spans="1:7" s="197" customFormat="1" ht="52.8">
      <c r="A38" s="144">
        <f t="shared" si="0"/>
        <v>50</v>
      </c>
      <c r="B38" s="200">
        <v>1</v>
      </c>
      <c r="C38" s="326" t="s">
        <v>792</v>
      </c>
      <c r="D38" s="199" t="s">
        <v>897</v>
      </c>
      <c r="F38" s="322"/>
      <c r="G38" s="322"/>
    </row>
    <row r="39" spans="1:7" s="197" customFormat="1" ht="66">
      <c r="A39" s="144">
        <f t="shared" si="0"/>
        <v>51</v>
      </c>
      <c r="B39" s="200">
        <v>1</v>
      </c>
      <c r="C39" s="326" t="s">
        <v>794</v>
      </c>
      <c r="D39" s="199" t="s">
        <v>898</v>
      </c>
      <c r="F39" s="322"/>
      <c r="G39" s="322"/>
    </row>
    <row r="40" spans="1:7" s="197" customFormat="1">
      <c r="A40" s="144">
        <f t="shared" si="0"/>
        <v>52</v>
      </c>
      <c r="B40" s="200">
        <v>2</v>
      </c>
      <c r="C40" s="326" t="s">
        <v>796</v>
      </c>
      <c r="D40" s="199" t="s">
        <v>776</v>
      </c>
      <c r="F40" s="322"/>
      <c r="G40" s="322"/>
    </row>
    <row r="41" spans="1:7" s="197" customFormat="1" ht="52.8">
      <c r="A41" s="144">
        <f t="shared" si="0"/>
        <v>54</v>
      </c>
      <c r="B41" s="200">
        <v>16</v>
      </c>
      <c r="C41" s="226" t="s">
        <v>797</v>
      </c>
      <c r="D41" s="199" t="s">
        <v>899</v>
      </c>
      <c r="F41" s="322"/>
      <c r="G41" s="322"/>
    </row>
    <row r="42" spans="1:7" s="197" customFormat="1">
      <c r="A42" s="144">
        <f t="shared" si="0"/>
        <v>70</v>
      </c>
      <c r="B42" s="200"/>
      <c r="C42" s="516" t="s">
        <v>808</v>
      </c>
      <c r="D42" s="516"/>
      <c r="F42" s="322"/>
      <c r="G42" s="322"/>
    </row>
    <row r="43" spans="1:7" s="197" customFormat="1">
      <c r="A43" s="144">
        <f t="shared" si="0"/>
        <v>70</v>
      </c>
      <c r="B43" s="200">
        <v>1</v>
      </c>
      <c r="C43" s="217" t="s">
        <v>809</v>
      </c>
      <c r="D43" s="199" t="s">
        <v>810</v>
      </c>
      <c r="F43" s="322"/>
      <c r="G43" s="322"/>
    </row>
    <row r="44" spans="1:7" s="197" customFormat="1">
      <c r="A44" s="144">
        <f t="shared" si="0"/>
        <v>71</v>
      </c>
      <c r="B44" s="200">
        <v>2</v>
      </c>
      <c r="C44" s="323" t="s">
        <v>775</v>
      </c>
      <c r="D44" s="199" t="s">
        <v>776</v>
      </c>
      <c r="F44" s="322"/>
      <c r="G44" s="322"/>
    </row>
    <row r="45" spans="1:7" s="197" customFormat="1" ht="39.6">
      <c r="A45" s="144">
        <f t="shared" si="0"/>
        <v>73</v>
      </c>
      <c r="B45" s="200">
        <v>1</v>
      </c>
      <c r="C45" s="323" t="s">
        <v>777</v>
      </c>
      <c r="D45" s="199" t="s">
        <v>778</v>
      </c>
      <c r="F45" s="322" t="s">
        <v>779</v>
      </c>
      <c r="G45" s="324" t="s">
        <v>780</v>
      </c>
    </row>
    <row r="46" spans="1:7" s="197" customFormat="1" ht="39.6">
      <c r="A46" s="144">
        <f t="shared" si="0"/>
        <v>74</v>
      </c>
      <c r="B46" s="200">
        <v>1</v>
      </c>
      <c r="C46" s="323" t="s">
        <v>781</v>
      </c>
      <c r="D46" s="199" t="s">
        <v>778</v>
      </c>
      <c r="F46" s="322" t="s">
        <v>779</v>
      </c>
      <c r="G46" s="324" t="s">
        <v>780</v>
      </c>
    </row>
    <row r="47" spans="1:7" s="197" customFormat="1" ht="285">
      <c r="A47" s="144">
        <f t="shared" si="0"/>
        <v>75</v>
      </c>
      <c r="B47" s="200">
        <v>1</v>
      </c>
      <c r="C47" s="10" t="s">
        <v>493</v>
      </c>
      <c r="D47" s="127" t="s">
        <v>494</v>
      </c>
      <c r="F47" s="322"/>
      <c r="G47" s="322"/>
    </row>
    <row r="48" spans="1:7" s="197" customFormat="1" ht="39.6">
      <c r="A48" s="144">
        <f t="shared" si="0"/>
        <v>76</v>
      </c>
      <c r="B48" s="200">
        <v>1</v>
      </c>
      <c r="C48" s="326" t="s">
        <v>782</v>
      </c>
      <c r="D48" s="199" t="s">
        <v>783</v>
      </c>
      <c r="F48" s="322"/>
      <c r="G48" s="322"/>
    </row>
    <row r="49" spans="1:7" s="197" customFormat="1" ht="26.4">
      <c r="A49" s="144">
        <f t="shared" si="0"/>
        <v>77</v>
      </c>
      <c r="B49" s="200">
        <v>1</v>
      </c>
      <c r="C49" s="326" t="s">
        <v>784</v>
      </c>
      <c r="D49" s="199" t="s">
        <v>785</v>
      </c>
      <c r="F49" s="322"/>
      <c r="G49" s="322"/>
    </row>
    <row r="50" spans="1:7" s="197" customFormat="1" ht="39.6">
      <c r="A50" s="144">
        <f t="shared" si="0"/>
        <v>78</v>
      </c>
      <c r="B50" s="200">
        <v>1</v>
      </c>
      <c r="C50" s="326" t="s">
        <v>786</v>
      </c>
      <c r="D50" s="199" t="s">
        <v>900</v>
      </c>
      <c r="F50" s="322"/>
      <c r="G50" s="322"/>
    </row>
    <row r="51" spans="1:7" s="197" customFormat="1" ht="52.8">
      <c r="A51" s="144">
        <f t="shared" si="0"/>
        <v>79</v>
      </c>
      <c r="B51" s="200">
        <v>1</v>
      </c>
      <c r="C51" s="326" t="s">
        <v>788</v>
      </c>
      <c r="D51" s="199" t="s">
        <v>901</v>
      </c>
      <c r="F51" s="322"/>
      <c r="G51" s="322"/>
    </row>
    <row r="52" spans="1:7" s="197" customFormat="1" ht="39.6">
      <c r="A52" s="144">
        <f t="shared" si="0"/>
        <v>80</v>
      </c>
      <c r="B52" s="200">
        <v>1</v>
      </c>
      <c r="C52" s="326" t="s">
        <v>790</v>
      </c>
      <c r="D52" s="199" t="s">
        <v>902</v>
      </c>
      <c r="F52" s="322"/>
      <c r="G52" s="322"/>
    </row>
    <row r="53" spans="1:7" s="197" customFormat="1" ht="52.8">
      <c r="A53" s="144">
        <f t="shared" si="0"/>
        <v>81</v>
      </c>
      <c r="B53" s="200">
        <v>1</v>
      </c>
      <c r="C53" s="326" t="s">
        <v>792</v>
      </c>
      <c r="D53" s="199" t="s">
        <v>903</v>
      </c>
      <c r="F53" s="322"/>
      <c r="G53" s="322"/>
    </row>
    <row r="54" spans="1:7" s="197" customFormat="1" ht="66">
      <c r="A54" s="144">
        <f t="shared" si="0"/>
        <v>82</v>
      </c>
      <c r="B54" s="200">
        <v>1</v>
      </c>
      <c r="C54" s="326" t="s">
        <v>794</v>
      </c>
      <c r="D54" s="199" t="s">
        <v>904</v>
      </c>
      <c r="F54" s="322"/>
      <c r="G54" s="322"/>
    </row>
    <row r="55" spans="1:7" s="197" customFormat="1">
      <c r="A55" s="144">
        <f t="shared" si="0"/>
        <v>83</v>
      </c>
      <c r="B55" s="200">
        <v>2</v>
      </c>
      <c r="C55" s="326" t="s">
        <v>796</v>
      </c>
      <c r="D55" s="199" t="s">
        <v>776</v>
      </c>
      <c r="F55" s="322"/>
      <c r="G55" s="322"/>
    </row>
    <row r="56" spans="1:7" s="197" customFormat="1" ht="52.8">
      <c r="A56" s="144">
        <f t="shared" si="0"/>
        <v>85</v>
      </c>
      <c r="B56" s="200">
        <v>16</v>
      </c>
      <c r="C56" s="226" t="s">
        <v>797</v>
      </c>
      <c r="D56" s="199" t="s">
        <v>905</v>
      </c>
      <c r="F56" s="322"/>
      <c r="G56" s="322"/>
    </row>
    <row r="57" spans="1:7" s="197" customFormat="1">
      <c r="A57" s="144">
        <f t="shared" si="0"/>
        <v>101</v>
      </c>
      <c r="B57" s="200"/>
      <c r="C57" s="516" t="s">
        <v>817</v>
      </c>
      <c r="D57" s="516"/>
      <c r="F57" s="322"/>
      <c r="G57" s="322"/>
    </row>
    <row r="58" spans="1:7" s="197" customFormat="1">
      <c r="A58" s="144">
        <f t="shared" si="0"/>
        <v>101</v>
      </c>
      <c r="B58" s="200">
        <v>2</v>
      </c>
      <c r="C58" s="217" t="s">
        <v>818</v>
      </c>
      <c r="D58" s="199" t="s">
        <v>819</v>
      </c>
      <c r="F58" s="322"/>
      <c r="G58" s="322"/>
    </row>
    <row r="59" spans="1:7" s="197" customFormat="1" ht="132">
      <c r="A59" s="144">
        <f t="shared" si="0"/>
        <v>103</v>
      </c>
      <c r="B59" s="200">
        <v>1</v>
      </c>
      <c r="C59" s="217" t="s">
        <v>820</v>
      </c>
      <c r="D59" s="199" t="s">
        <v>385</v>
      </c>
      <c r="F59" s="322"/>
      <c r="G59" s="322"/>
    </row>
    <row r="60" spans="1:7" s="197" customFormat="1" ht="273.75" customHeight="1">
      <c r="A60" s="144">
        <f t="shared" si="0"/>
        <v>104</v>
      </c>
      <c r="B60" s="200">
        <v>1</v>
      </c>
      <c r="C60" s="200" t="s">
        <v>747</v>
      </c>
      <c r="D60" s="328" t="s">
        <v>381</v>
      </c>
      <c r="F60" s="324" t="s">
        <v>748</v>
      </c>
      <c r="G60" s="324" t="s">
        <v>167</v>
      </c>
    </row>
    <row r="61" spans="1:7" s="197" customFormat="1" ht="52.8">
      <c r="A61" s="144">
        <f t="shared" si="0"/>
        <v>105</v>
      </c>
      <c r="B61" s="200">
        <v>16</v>
      </c>
      <c r="C61" s="226" t="s">
        <v>797</v>
      </c>
      <c r="D61" s="199" t="s">
        <v>906</v>
      </c>
      <c r="F61" s="322"/>
      <c r="G61" s="322"/>
    </row>
    <row r="62" spans="1:7" s="197" customFormat="1">
      <c r="A62" s="144">
        <f t="shared" si="0"/>
        <v>121</v>
      </c>
      <c r="B62" s="200">
        <v>20</v>
      </c>
      <c r="C62" s="217" t="s">
        <v>420</v>
      </c>
      <c r="D62" s="199" t="s">
        <v>822</v>
      </c>
      <c r="F62" s="322"/>
      <c r="G62" s="322"/>
    </row>
    <row r="63" spans="1:7" s="197" customFormat="1">
      <c r="A63" s="144">
        <f t="shared" si="0"/>
        <v>141</v>
      </c>
      <c r="B63" s="200">
        <v>20</v>
      </c>
      <c r="C63" s="217" t="s">
        <v>422</v>
      </c>
      <c r="D63" s="199" t="s">
        <v>823</v>
      </c>
      <c r="F63" s="322"/>
      <c r="G63" s="322"/>
    </row>
    <row r="64" spans="1:7" s="197" customFormat="1">
      <c r="A64" s="144">
        <f t="shared" si="0"/>
        <v>161</v>
      </c>
      <c r="B64" s="200">
        <v>20</v>
      </c>
      <c r="C64" s="217" t="s">
        <v>423</v>
      </c>
      <c r="D64" s="199" t="s">
        <v>824</v>
      </c>
      <c r="F64" s="322"/>
      <c r="G64" s="322"/>
    </row>
    <row r="65" spans="1:7" s="197" customFormat="1">
      <c r="A65" s="144">
        <f t="shared" si="0"/>
        <v>181</v>
      </c>
      <c r="B65" s="200">
        <v>20</v>
      </c>
      <c r="C65" s="217" t="s">
        <v>424</v>
      </c>
      <c r="D65" s="199" t="s">
        <v>825</v>
      </c>
      <c r="F65" s="322"/>
      <c r="G65" s="322"/>
    </row>
    <row r="66" spans="1:7" s="197" customFormat="1">
      <c r="A66" s="144">
        <f t="shared" si="0"/>
        <v>201</v>
      </c>
      <c r="B66" s="200">
        <v>20</v>
      </c>
      <c r="C66" s="217" t="s">
        <v>425</v>
      </c>
      <c r="D66" s="199" t="s">
        <v>826</v>
      </c>
      <c r="F66" s="322"/>
      <c r="G66" s="322"/>
    </row>
    <row r="67" spans="1:7" s="197" customFormat="1">
      <c r="A67" s="144">
        <f t="shared" si="0"/>
        <v>221</v>
      </c>
      <c r="B67" s="200">
        <v>20</v>
      </c>
      <c r="C67" s="217" t="s">
        <v>426</v>
      </c>
      <c r="D67" s="199" t="s">
        <v>827</v>
      </c>
      <c r="F67" s="322"/>
      <c r="G67" s="322"/>
    </row>
    <row r="68" spans="1:7" s="197" customFormat="1">
      <c r="A68" s="144">
        <f t="shared" si="0"/>
        <v>241</v>
      </c>
      <c r="B68" s="200">
        <v>20</v>
      </c>
      <c r="C68" s="217" t="s">
        <v>427</v>
      </c>
      <c r="D68" s="199" t="s">
        <v>828</v>
      </c>
      <c r="F68" s="322"/>
      <c r="G68" s="322"/>
    </row>
    <row r="69" spans="1:7" s="197" customFormat="1">
      <c r="A69" s="144">
        <f t="shared" si="0"/>
        <v>261</v>
      </c>
      <c r="B69" s="200">
        <v>20</v>
      </c>
      <c r="C69" s="217" t="s">
        <v>428</v>
      </c>
      <c r="D69" s="199" t="s">
        <v>829</v>
      </c>
      <c r="F69" s="322"/>
      <c r="G69" s="322"/>
    </row>
    <row r="70" spans="1:7" s="197" customFormat="1">
      <c r="A70" s="144">
        <f t="shared" si="0"/>
        <v>281</v>
      </c>
      <c r="B70" s="200">
        <v>20</v>
      </c>
      <c r="C70" s="217" t="s">
        <v>429</v>
      </c>
      <c r="D70" s="199" t="s">
        <v>830</v>
      </c>
      <c r="F70" s="322"/>
      <c r="G70" s="322"/>
    </row>
    <row r="71" spans="1:7" s="197" customFormat="1">
      <c r="A71" s="144">
        <f t="shared" si="0"/>
        <v>301</v>
      </c>
      <c r="B71" s="200">
        <v>20</v>
      </c>
      <c r="C71" s="217" t="s">
        <v>430</v>
      </c>
      <c r="D71" s="199" t="s">
        <v>831</v>
      </c>
      <c r="F71" s="322"/>
      <c r="G71" s="322"/>
    </row>
    <row r="72" spans="1:7" s="197" customFormat="1">
      <c r="A72" s="144">
        <f t="shared" si="0"/>
        <v>321</v>
      </c>
      <c r="B72" s="200">
        <v>20</v>
      </c>
      <c r="C72" s="217" t="s">
        <v>431</v>
      </c>
      <c r="D72" s="199" t="s">
        <v>832</v>
      </c>
      <c r="F72" s="322"/>
      <c r="G72" s="322"/>
    </row>
    <row r="73" spans="1:7" s="197" customFormat="1">
      <c r="A73" s="144">
        <f t="shared" si="0"/>
        <v>341</v>
      </c>
      <c r="B73" s="200">
        <v>20</v>
      </c>
      <c r="C73" s="217" t="s">
        <v>432</v>
      </c>
      <c r="D73" s="199" t="s">
        <v>833</v>
      </c>
      <c r="F73" s="322"/>
      <c r="G73" s="322"/>
    </row>
    <row r="74" spans="1:7" s="197" customFormat="1">
      <c r="A74" s="144">
        <f t="shared" si="0"/>
        <v>361</v>
      </c>
      <c r="B74" s="200">
        <v>20</v>
      </c>
      <c r="C74" s="217" t="s">
        <v>433</v>
      </c>
      <c r="D74" s="199" t="s">
        <v>834</v>
      </c>
      <c r="F74" s="322"/>
      <c r="G74" s="322"/>
    </row>
    <row r="75" spans="1:7" s="197" customFormat="1">
      <c r="A75" s="144">
        <f t="shared" si="0"/>
        <v>381</v>
      </c>
      <c r="B75" s="200">
        <v>20</v>
      </c>
      <c r="C75" s="217" t="s">
        <v>434</v>
      </c>
      <c r="D75" s="199" t="s">
        <v>835</v>
      </c>
      <c r="F75" s="322"/>
      <c r="G75" s="322"/>
    </row>
    <row r="76" spans="1:7" s="197" customFormat="1">
      <c r="A76" s="144">
        <f t="shared" si="0"/>
        <v>401</v>
      </c>
      <c r="B76" s="200">
        <v>20</v>
      </c>
      <c r="C76" s="217" t="s">
        <v>435</v>
      </c>
      <c r="D76" s="199" t="s">
        <v>836</v>
      </c>
      <c r="F76" s="322"/>
      <c r="G76" s="322"/>
    </row>
    <row r="77" spans="1:7" s="197" customFormat="1">
      <c r="A77" s="144">
        <f t="shared" si="0"/>
        <v>421</v>
      </c>
      <c r="B77" s="200">
        <v>20</v>
      </c>
      <c r="C77" s="217" t="s">
        <v>436</v>
      </c>
      <c r="D77" s="199" t="s">
        <v>837</v>
      </c>
      <c r="F77" s="322"/>
      <c r="G77" s="322"/>
    </row>
    <row r="78" spans="1:7" s="197" customFormat="1">
      <c r="A78" s="144">
        <f t="shared" si="0"/>
        <v>441</v>
      </c>
      <c r="B78" s="200">
        <v>20</v>
      </c>
      <c r="C78" s="217" t="s">
        <v>437</v>
      </c>
      <c r="D78" s="199" t="s">
        <v>838</v>
      </c>
      <c r="F78" s="322"/>
      <c r="G78" s="322"/>
    </row>
    <row r="79" spans="1:7" s="197" customFormat="1">
      <c r="A79" s="144">
        <f t="shared" si="0"/>
        <v>461</v>
      </c>
      <c r="B79" s="200">
        <v>20</v>
      </c>
      <c r="C79" s="217" t="s">
        <v>438</v>
      </c>
      <c r="D79" s="199" t="s">
        <v>839</v>
      </c>
      <c r="F79" s="322"/>
      <c r="G79" s="322"/>
    </row>
    <row r="80" spans="1:7" s="197" customFormat="1">
      <c r="A80" s="144">
        <f t="shared" si="0"/>
        <v>481</v>
      </c>
      <c r="B80" s="200">
        <v>20</v>
      </c>
      <c r="C80" s="217" t="s">
        <v>439</v>
      </c>
      <c r="D80" s="199" t="s">
        <v>840</v>
      </c>
      <c r="F80" s="322"/>
      <c r="G80" s="322"/>
    </row>
    <row r="81" spans="1:7" s="197" customFormat="1">
      <c r="A81" s="144">
        <f t="shared" si="0"/>
        <v>501</v>
      </c>
      <c r="B81" s="200">
        <v>20</v>
      </c>
      <c r="C81" s="217" t="s">
        <v>440</v>
      </c>
      <c r="D81" s="199" t="s">
        <v>841</v>
      </c>
      <c r="F81" s="322"/>
      <c r="G81" s="322"/>
    </row>
    <row r="82" spans="1:7" s="197" customFormat="1">
      <c r="A82" s="144">
        <f t="shared" si="0"/>
        <v>521</v>
      </c>
      <c r="B82" s="200">
        <v>20</v>
      </c>
      <c r="C82" s="217" t="s">
        <v>441</v>
      </c>
      <c r="D82" s="199" t="s">
        <v>842</v>
      </c>
      <c r="F82" s="322"/>
      <c r="G82" s="322"/>
    </row>
    <row r="83" spans="1:7" s="197" customFormat="1">
      <c r="A83" s="144">
        <f t="shared" si="0"/>
        <v>541</v>
      </c>
      <c r="B83" s="200">
        <v>20</v>
      </c>
      <c r="C83" s="217" t="s">
        <v>442</v>
      </c>
      <c r="D83" s="199" t="s">
        <v>843</v>
      </c>
      <c r="F83" s="322"/>
      <c r="G83" s="322"/>
    </row>
    <row r="84" spans="1:7" s="197" customFormat="1">
      <c r="A84" s="144">
        <f t="shared" si="0"/>
        <v>561</v>
      </c>
      <c r="B84" s="200">
        <v>20</v>
      </c>
      <c r="C84" s="217" t="s">
        <v>443</v>
      </c>
      <c r="D84" s="199" t="s">
        <v>844</v>
      </c>
      <c r="F84" s="322"/>
      <c r="G84" s="322"/>
    </row>
    <row r="85" spans="1:7" s="197" customFormat="1">
      <c r="A85" s="144">
        <f t="shared" si="0"/>
        <v>581</v>
      </c>
      <c r="B85" s="200">
        <v>20</v>
      </c>
      <c r="C85" s="217" t="s">
        <v>444</v>
      </c>
      <c r="D85" s="199" t="s">
        <v>845</v>
      </c>
      <c r="F85" s="322"/>
      <c r="G85" s="322"/>
    </row>
    <row r="86" spans="1:7" s="197" customFormat="1">
      <c r="A86" s="144">
        <f t="shared" si="0"/>
        <v>601</v>
      </c>
      <c r="B86" s="200">
        <v>20</v>
      </c>
      <c r="C86" s="217" t="s">
        <v>445</v>
      </c>
      <c r="D86" s="199" t="s">
        <v>846</v>
      </c>
      <c r="F86" s="322"/>
      <c r="G86" s="322"/>
    </row>
    <row r="87" spans="1:7" s="197" customFormat="1">
      <c r="A87" s="144">
        <f t="shared" si="0"/>
        <v>621</v>
      </c>
      <c r="B87" s="200">
        <v>20</v>
      </c>
      <c r="C87" s="217" t="s">
        <v>446</v>
      </c>
      <c r="D87" s="199" t="s">
        <v>847</v>
      </c>
      <c r="F87" s="322"/>
      <c r="G87" s="322"/>
    </row>
    <row r="88" spans="1:7" s="197" customFormat="1">
      <c r="A88" s="144">
        <f t="shared" si="0"/>
        <v>641</v>
      </c>
      <c r="B88" s="200">
        <v>20</v>
      </c>
      <c r="C88" s="217" t="s">
        <v>447</v>
      </c>
      <c r="D88" s="199" t="s">
        <v>848</v>
      </c>
      <c r="F88" s="322"/>
      <c r="G88" s="322"/>
    </row>
    <row r="89" spans="1:7" s="197" customFormat="1">
      <c r="A89" s="144">
        <f t="shared" si="0"/>
        <v>661</v>
      </c>
      <c r="B89" s="200">
        <v>20</v>
      </c>
      <c r="C89" s="217" t="s">
        <v>448</v>
      </c>
      <c r="D89" s="199" t="s">
        <v>849</v>
      </c>
      <c r="F89" s="322"/>
      <c r="G89" s="322"/>
    </row>
    <row r="90" spans="1:7" s="197" customFormat="1">
      <c r="A90" s="144">
        <f t="shared" si="0"/>
        <v>681</v>
      </c>
      <c r="B90" s="200">
        <v>20</v>
      </c>
      <c r="C90" s="217" t="s">
        <v>449</v>
      </c>
      <c r="D90" s="199" t="s">
        <v>850</v>
      </c>
      <c r="F90" s="322"/>
      <c r="G90" s="322"/>
    </row>
    <row r="91" spans="1:7" s="197" customFormat="1">
      <c r="A91" s="144">
        <f t="shared" si="0"/>
        <v>701</v>
      </c>
      <c r="B91" s="200">
        <v>20</v>
      </c>
      <c r="C91" s="217" t="s">
        <v>450</v>
      </c>
      <c r="D91" s="199" t="s">
        <v>851</v>
      </c>
      <c r="F91" s="322"/>
      <c r="G91" s="322"/>
    </row>
    <row r="92" spans="1:7" s="197" customFormat="1">
      <c r="A92" s="144">
        <f t="shared" si="0"/>
        <v>721</v>
      </c>
      <c r="B92" s="200">
        <v>20</v>
      </c>
      <c r="C92" s="217" t="s">
        <v>451</v>
      </c>
      <c r="D92" s="199" t="s">
        <v>852</v>
      </c>
      <c r="F92" s="322"/>
      <c r="G92" s="322"/>
    </row>
    <row r="93" spans="1:7" s="197" customFormat="1">
      <c r="A93" s="144">
        <f t="shared" si="0"/>
        <v>741</v>
      </c>
      <c r="B93" s="200">
        <v>20</v>
      </c>
      <c r="C93" s="217" t="s">
        <v>452</v>
      </c>
      <c r="D93" s="199" t="s">
        <v>853</v>
      </c>
      <c r="F93" s="322"/>
      <c r="G93" s="322"/>
    </row>
    <row r="94" spans="1:7" s="197" customFormat="1">
      <c r="A94" s="144">
        <f t="shared" si="0"/>
        <v>761</v>
      </c>
      <c r="B94" s="200">
        <v>20</v>
      </c>
      <c r="C94" s="217" t="s">
        <v>453</v>
      </c>
      <c r="D94" s="199" t="s">
        <v>854</v>
      </c>
      <c r="F94" s="322"/>
      <c r="G94" s="322"/>
    </row>
    <row r="95" spans="1:7" s="197" customFormat="1">
      <c r="A95" s="144">
        <f t="shared" si="0"/>
        <v>781</v>
      </c>
      <c r="B95" s="200">
        <v>20</v>
      </c>
      <c r="C95" s="217" t="s">
        <v>454</v>
      </c>
      <c r="D95" s="199" t="s">
        <v>855</v>
      </c>
      <c r="F95" s="322"/>
      <c r="G95" s="322"/>
    </row>
    <row r="96" spans="1:7" s="197" customFormat="1">
      <c r="A96" s="144">
        <f t="shared" si="0"/>
        <v>801</v>
      </c>
      <c r="B96" s="200">
        <v>20</v>
      </c>
      <c r="C96" s="217" t="s">
        <v>455</v>
      </c>
      <c r="D96" s="199" t="s">
        <v>856</v>
      </c>
      <c r="F96" s="322"/>
      <c r="G96" s="322"/>
    </row>
    <row r="97" spans="1:7" s="197" customFormat="1">
      <c r="A97" s="144">
        <f t="shared" si="0"/>
        <v>821</v>
      </c>
      <c r="B97" s="200">
        <v>20</v>
      </c>
      <c r="C97" s="217" t="s">
        <v>456</v>
      </c>
      <c r="D97" s="199" t="s">
        <v>857</v>
      </c>
      <c r="F97" s="322"/>
      <c r="G97" s="322"/>
    </row>
    <row r="98" spans="1:7" s="197" customFormat="1">
      <c r="A98" s="144">
        <f t="shared" si="0"/>
        <v>841</v>
      </c>
      <c r="B98" s="200">
        <v>20</v>
      </c>
      <c r="C98" s="217" t="s">
        <v>457</v>
      </c>
      <c r="D98" s="199" t="s">
        <v>858</v>
      </c>
      <c r="F98" s="322"/>
      <c r="G98" s="322"/>
    </row>
    <row r="99" spans="1:7" s="197" customFormat="1">
      <c r="A99" s="144">
        <f t="shared" si="0"/>
        <v>861</v>
      </c>
      <c r="B99" s="200">
        <v>20</v>
      </c>
      <c r="C99" s="217" t="s">
        <v>458</v>
      </c>
      <c r="D99" s="199" t="s">
        <v>859</v>
      </c>
      <c r="F99" s="322"/>
      <c r="G99" s="322"/>
    </row>
    <row r="100" spans="1:7" s="197" customFormat="1">
      <c r="A100" s="144">
        <f t="shared" si="0"/>
        <v>881</v>
      </c>
      <c r="B100" s="200">
        <v>20</v>
      </c>
      <c r="C100" s="217" t="s">
        <v>459</v>
      </c>
      <c r="D100" s="199" t="s">
        <v>860</v>
      </c>
      <c r="F100" s="322"/>
      <c r="G100" s="322"/>
    </row>
    <row r="101" spans="1:7" s="197" customFormat="1">
      <c r="A101" s="144">
        <f t="shared" si="0"/>
        <v>901</v>
      </c>
      <c r="B101" s="200">
        <v>20</v>
      </c>
      <c r="C101" s="217" t="s">
        <v>460</v>
      </c>
      <c r="D101" s="199" t="s">
        <v>861</v>
      </c>
      <c r="F101" s="322"/>
      <c r="G101" s="322"/>
    </row>
    <row r="102" spans="1:7" s="197" customFormat="1">
      <c r="A102" s="144">
        <f t="shared" si="0"/>
        <v>921</v>
      </c>
      <c r="B102" s="200">
        <v>20</v>
      </c>
      <c r="C102" s="217" t="s">
        <v>461</v>
      </c>
      <c r="D102" s="199" t="s">
        <v>862</v>
      </c>
      <c r="F102" s="322"/>
      <c r="G102" s="322"/>
    </row>
    <row r="103" spans="1:7" s="197" customFormat="1">
      <c r="A103" s="144">
        <f t="shared" si="0"/>
        <v>941</v>
      </c>
      <c r="B103" s="200">
        <v>20</v>
      </c>
      <c r="C103" s="217" t="s">
        <v>462</v>
      </c>
      <c r="D103" s="199" t="s">
        <v>863</v>
      </c>
      <c r="F103" s="322"/>
      <c r="G103" s="322"/>
    </row>
    <row r="104" spans="1:7" s="197" customFormat="1">
      <c r="A104" s="144">
        <f t="shared" si="0"/>
        <v>961</v>
      </c>
      <c r="B104" s="200">
        <v>20</v>
      </c>
      <c r="C104" s="217" t="s">
        <v>463</v>
      </c>
      <c r="D104" s="199" t="s">
        <v>864</v>
      </c>
      <c r="F104" s="322"/>
      <c r="G104" s="322"/>
    </row>
    <row r="105" spans="1:7" s="197" customFormat="1">
      <c r="A105" s="144">
        <f t="shared" si="0"/>
        <v>981</v>
      </c>
      <c r="B105" s="200">
        <v>20</v>
      </c>
      <c r="C105" s="217" t="s">
        <v>464</v>
      </c>
      <c r="D105" s="199" t="s">
        <v>865</v>
      </c>
      <c r="F105" s="322"/>
      <c r="G105" s="322"/>
    </row>
    <row r="106" spans="1:7" s="197" customFormat="1">
      <c r="A106" s="144">
        <f t="shared" si="0"/>
        <v>1001</v>
      </c>
      <c r="B106" s="200">
        <v>20</v>
      </c>
      <c r="C106" s="217" t="s">
        <v>465</v>
      </c>
      <c r="D106" s="199" t="s">
        <v>866</v>
      </c>
      <c r="F106" s="322"/>
      <c r="G106" s="322"/>
    </row>
    <row r="107" spans="1:7" s="197" customFormat="1">
      <c r="A107" s="144">
        <f t="shared" si="0"/>
        <v>1021</v>
      </c>
      <c r="B107" s="200">
        <v>20</v>
      </c>
      <c r="C107" s="217" t="s">
        <v>466</v>
      </c>
      <c r="D107" s="199" t="s">
        <v>867</v>
      </c>
      <c r="F107" s="322"/>
      <c r="G107" s="322"/>
    </row>
    <row r="108" spans="1:7" s="197" customFormat="1">
      <c r="A108" s="144">
        <f t="shared" si="0"/>
        <v>1041</v>
      </c>
      <c r="B108" s="200">
        <v>20</v>
      </c>
      <c r="C108" s="217" t="s">
        <v>467</v>
      </c>
      <c r="D108" s="199" t="s">
        <v>868</v>
      </c>
      <c r="F108" s="322"/>
      <c r="G108" s="322"/>
    </row>
    <row r="109" spans="1:7" s="197" customFormat="1">
      <c r="A109" s="144">
        <f t="shared" si="0"/>
        <v>1061</v>
      </c>
      <c r="B109" s="200">
        <v>20</v>
      </c>
      <c r="C109" s="217" t="s">
        <v>468</v>
      </c>
      <c r="D109" s="199" t="s">
        <v>869</v>
      </c>
      <c r="F109" s="322"/>
      <c r="G109" s="322"/>
    </row>
    <row r="110" spans="1:7" s="197" customFormat="1">
      <c r="A110" s="144">
        <f t="shared" si="0"/>
        <v>1081</v>
      </c>
      <c r="B110" s="200">
        <v>20</v>
      </c>
      <c r="C110" s="217" t="s">
        <v>469</v>
      </c>
      <c r="D110" s="199" t="s">
        <v>870</v>
      </c>
      <c r="F110" s="322"/>
      <c r="G110" s="322"/>
    </row>
    <row r="111" spans="1:7" s="197" customFormat="1">
      <c r="A111" s="144">
        <f t="shared" si="0"/>
        <v>1101</v>
      </c>
      <c r="B111" s="200">
        <v>20</v>
      </c>
      <c r="C111" s="217" t="s">
        <v>470</v>
      </c>
      <c r="D111" s="199" t="s">
        <v>871</v>
      </c>
      <c r="F111" s="322"/>
      <c r="G111" s="322"/>
    </row>
    <row r="112" spans="1:7" s="197" customFormat="1">
      <c r="A112" s="144">
        <f t="shared" si="0"/>
        <v>1121</v>
      </c>
      <c r="B112" s="200">
        <v>20</v>
      </c>
      <c r="C112" s="217" t="s">
        <v>471</v>
      </c>
      <c r="D112" s="199" t="s">
        <v>872</v>
      </c>
      <c r="F112" s="322"/>
      <c r="G112" s="322"/>
    </row>
    <row r="113" spans="1:7" s="197" customFormat="1">
      <c r="A113" s="144">
        <f t="shared" si="0"/>
        <v>1141</v>
      </c>
      <c r="B113" s="200">
        <v>20</v>
      </c>
      <c r="C113" s="217" t="s">
        <v>472</v>
      </c>
      <c r="D113" s="199" t="s">
        <v>873</v>
      </c>
      <c r="F113" s="322"/>
      <c r="G113" s="322"/>
    </row>
    <row r="114" spans="1:7" s="197" customFormat="1">
      <c r="A114" s="144">
        <f t="shared" si="0"/>
        <v>1161</v>
      </c>
      <c r="B114" s="200">
        <v>20</v>
      </c>
      <c r="C114" s="217" t="s">
        <v>473</v>
      </c>
      <c r="D114" s="199" t="s">
        <v>874</v>
      </c>
      <c r="F114" s="322"/>
      <c r="G114" s="322"/>
    </row>
    <row r="115" spans="1:7" s="197" customFormat="1">
      <c r="A115" s="144">
        <f t="shared" si="0"/>
        <v>1181</v>
      </c>
      <c r="B115" s="200">
        <v>20</v>
      </c>
      <c r="C115" s="217" t="s">
        <v>474</v>
      </c>
      <c r="D115" s="199" t="s">
        <v>875</v>
      </c>
      <c r="F115" s="322"/>
      <c r="G115" s="322"/>
    </row>
    <row r="116" spans="1:7" s="197" customFormat="1">
      <c r="A116" s="144">
        <f t="shared" si="0"/>
        <v>1201</v>
      </c>
      <c r="B116" s="200">
        <v>20</v>
      </c>
      <c r="C116" s="217" t="s">
        <v>475</v>
      </c>
      <c r="D116" s="199" t="s">
        <v>876</v>
      </c>
      <c r="F116" s="322"/>
      <c r="G116" s="322"/>
    </row>
    <row r="117" spans="1:7" s="197" customFormat="1">
      <c r="A117" s="144">
        <f t="shared" si="0"/>
        <v>1221</v>
      </c>
      <c r="B117" s="200">
        <v>20</v>
      </c>
      <c r="C117" s="217" t="s">
        <v>476</v>
      </c>
      <c r="D117" s="199" t="s">
        <v>877</v>
      </c>
      <c r="F117" s="322"/>
      <c r="G117" s="322"/>
    </row>
    <row r="118" spans="1:7" s="197" customFormat="1">
      <c r="A118" s="144">
        <f t="shared" si="0"/>
        <v>1241</v>
      </c>
      <c r="B118" s="200">
        <v>20</v>
      </c>
      <c r="C118" s="217" t="s">
        <v>477</v>
      </c>
      <c r="D118" s="199" t="s">
        <v>878</v>
      </c>
      <c r="F118" s="322"/>
      <c r="G118" s="322"/>
    </row>
    <row r="119" spans="1:7" s="197" customFormat="1">
      <c r="A119" s="144">
        <f t="shared" si="0"/>
        <v>1261</v>
      </c>
      <c r="B119" s="200">
        <v>20</v>
      </c>
      <c r="C119" s="217" t="s">
        <v>478</v>
      </c>
      <c r="D119" s="199" t="s">
        <v>879</v>
      </c>
      <c r="F119" s="322"/>
      <c r="G119" s="322"/>
    </row>
    <row r="120" spans="1:7" s="197" customFormat="1">
      <c r="A120" s="144">
        <f t="shared" si="0"/>
        <v>1281</v>
      </c>
      <c r="B120" s="200">
        <v>20</v>
      </c>
      <c r="C120" s="217" t="s">
        <v>479</v>
      </c>
      <c r="D120" s="199" t="s">
        <v>880</v>
      </c>
      <c r="F120" s="322"/>
      <c r="G120" s="322"/>
    </row>
    <row r="121" spans="1:7" s="197" customFormat="1">
      <c r="A121" s="144">
        <f t="shared" si="0"/>
        <v>1301</v>
      </c>
      <c r="B121" s="200">
        <v>20</v>
      </c>
      <c r="C121" s="217" t="s">
        <v>480</v>
      </c>
      <c r="D121" s="199" t="s">
        <v>881</v>
      </c>
      <c r="F121" s="322"/>
      <c r="G121" s="322"/>
    </row>
    <row r="122" spans="1:7" s="197" customFormat="1">
      <c r="A122" s="144">
        <f t="shared" si="0"/>
        <v>1321</v>
      </c>
      <c r="B122" s="200">
        <v>20</v>
      </c>
      <c r="C122" s="217" t="s">
        <v>481</v>
      </c>
      <c r="D122" s="199" t="s">
        <v>882</v>
      </c>
      <c r="F122" s="322"/>
      <c r="G122" s="322"/>
    </row>
    <row r="123" spans="1:7" ht="22.8">
      <c r="A123" s="144">
        <f t="shared" si="0"/>
        <v>1341</v>
      </c>
      <c r="B123" s="144">
        <v>2</v>
      </c>
      <c r="C123" s="144" t="s">
        <v>127</v>
      </c>
      <c r="D123" s="145" t="s">
        <v>128</v>
      </c>
    </row>
    <row r="124" spans="1:7" ht="22.8">
      <c r="A124" s="144">
        <f t="shared" si="0"/>
        <v>1343</v>
      </c>
      <c r="B124" s="144">
        <v>4</v>
      </c>
      <c r="C124" s="144" t="s">
        <v>129</v>
      </c>
      <c r="D124" s="145" t="s">
        <v>130</v>
      </c>
    </row>
    <row r="125" spans="1:7">
      <c r="A125" s="144">
        <f t="shared" si="0"/>
        <v>1347</v>
      </c>
      <c r="B125" s="144">
        <v>1</v>
      </c>
      <c r="C125" s="144" t="s">
        <v>131</v>
      </c>
      <c r="D125" s="145" t="s">
        <v>132</v>
      </c>
    </row>
    <row r="126" spans="1:7">
      <c r="A126" s="144">
        <f t="shared" si="0"/>
        <v>1348</v>
      </c>
      <c r="B126" s="157" t="s">
        <v>486</v>
      </c>
    </row>
    <row r="130" spans="1:7" ht="15">
      <c r="A130" s="505" t="s">
        <v>907</v>
      </c>
      <c r="B130" s="505"/>
      <c r="C130" s="505"/>
      <c r="D130" s="505"/>
      <c r="E130" s="505"/>
    </row>
    <row r="131" spans="1:7">
      <c r="C131" s="198"/>
    </row>
    <row r="132" spans="1:7" s="196" customFormat="1" ht="15">
      <c r="A132" s="505" t="s">
        <v>908</v>
      </c>
      <c r="B132" s="505"/>
      <c r="C132" s="505"/>
      <c r="D132" s="505"/>
      <c r="E132" s="505"/>
      <c r="F132" s="320"/>
      <c r="G132" s="320"/>
    </row>
    <row r="133" spans="1:7" ht="15">
      <c r="A133" s="151"/>
      <c r="B133" s="155"/>
      <c r="C133" s="198"/>
      <c r="D133" s="175"/>
    </row>
    <row r="134" spans="1:7" s="155" customFormat="1" ht="18" customHeight="1">
      <c r="A134" s="152" t="s">
        <v>110</v>
      </c>
      <c r="B134" s="152" t="s">
        <v>111</v>
      </c>
      <c r="C134" s="153" t="s">
        <v>112</v>
      </c>
      <c r="D134" s="168" t="s">
        <v>113</v>
      </c>
      <c r="F134" s="321"/>
      <c r="G134" s="321"/>
    </row>
    <row r="135" spans="1:7">
      <c r="A135" s="144">
        <v>0</v>
      </c>
      <c r="B135" s="144">
        <v>1</v>
      </c>
      <c r="C135" s="198" t="s">
        <v>114</v>
      </c>
      <c r="D135" s="145" t="s">
        <v>115</v>
      </c>
    </row>
    <row r="136" spans="1:7">
      <c r="A136" s="144">
        <f t="shared" ref="A136:A144" si="1">A135+B135</f>
        <v>1</v>
      </c>
      <c r="B136" s="144">
        <v>1</v>
      </c>
      <c r="C136" s="198" t="s">
        <v>770</v>
      </c>
      <c r="D136" s="145" t="s">
        <v>909</v>
      </c>
    </row>
    <row r="137" spans="1:7" ht="26.4">
      <c r="A137" s="144">
        <f t="shared" si="1"/>
        <v>2</v>
      </c>
      <c r="B137" s="144">
        <v>1</v>
      </c>
      <c r="C137" s="198" t="s">
        <v>910</v>
      </c>
      <c r="D137" s="199" t="s">
        <v>911</v>
      </c>
    </row>
    <row r="138" spans="1:7">
      <c r="A138" s="144">
        <f t="shared" si="1"/>
        <v>3</v>
      </c>
      <c r="B138" s="144">
        <v>2</v>
      </c>
      <c r="C138" s="14" t="s">
        <v>912</v>
      </c>
      <c r="D138" s="19" t="s">
        <v>141</v>
      </c>
      <c r="E138" s="156"/>
    </row>
    <row r="139" spans="1:7" s="197" customFormat="1">
      <c r="A139" s="144">
        <f t="shared" si="1"/>
        <v>5</v>
      </c>
      <c r="B139" s="200">
        <v>2</v>
      </c>
      <c r="C139" s="200" t="s">
        <v>121</v>
      </c>
      <c r="D139" s="201" t="s">
        <v>766</v>
      </c>
      <c r="F139" s="322"/>
      <c r="G139" s="322"/>
    </row>
    <row r="140" spans="1:7" s="197" customFormat="1" ht="39.6">
      <c r="A140" s="144">
        <f t="shared" si="1"/>
        <v>7</v>
      </c>
      <c r="B140" s="200">
        <v>3</v>
      </c>
      <c r="C140" s="10" t="s">
        <v>120</v>
      </c>
      <c r="D140" s="145" t="str">
        <f>DEC2HEX(A144-5)</f>
        <v>C</v>
      </c>
      <c r="F140" s="322"/>
      <c r="G140" s="322"/>
    </row>
    <row r="141" spans="1:7" ht="22.8">
      <c r="A141" s="144">
        <f t="shared" si="1"/>
        <v>10</v>
      </c>
      <c r="B141" s="144">
        <v>2</v>
      </c>
      <c r="C141" s="144" t="s">
        <v>127</v>
      </c>
      <c r="D141" s="145" t="s">
        <v>128</v>
      </c>
    </row>
    <row r="142" spans="1:7" ht="22.8">
      <c r="A142" s="144">
        <f t="shared" si="1"/>
        <v>12</v>
      </c>
      <c r="B142" s="144">
        <v>4</v>
      </c>
      <c r="C142" s="144" t="s">
        <v>129</v>
      </c>
      <c r="D142" s="145" t="s">
        <v>130</v>
      </c>
    </row>
    <row r="143" spans="1:7">
      <c r="A143" s="144">
        <f t="shared" si="1"/>
        <v>16</v>
      </c>
      <c r="B143" s="144">
        <v>1</v>
      </c>
      <c r="C143" s="144" t="s">
        <v>131</v>
      </c>
      <c r="D143" s="145" t="s">
        <v>132</v>
      </c>
    </row>
    <row r="144" spans="1:7">
      <c r="A144" s="144">
        <f t="shared" si="1"/>
        <v>17</v>
      </c>
      <c r="B144" s="157" t="s">
        <v>486</v>
      </c>
      <c r="C144" s="198"/>
    </row>
  </sheetData>
  <mergeCells count="8">
    <mergeCell ref="C57:D57"/>
    <mergeCell ref="A130:E130"/>
    <mergeCell ref="A132:E132"/>
    <mergeCell ref="A2:E2"/>
    <mergeCell ref="A4:E4"/>
    <mergeCell ref="C12:D12"/>
    <mergeCell ref="C27:D27"/>
    <mergeCell ref="C42:D42"/>
  </mergeCells>
  <pageMargins left="0.75" right="0.75" top="1" bottom="1" header="0.51111111111111096" footer="0.51111111111111096"/>
  <pageSetup orientation="portrait" horizontalDpi="300" verticalDpi="300"/>
  <headerFooter scaleWithDoc="0"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K146"/>
  <sheetViews>
    <sheetView topLeftCell="C138" zoomScale="70" zoomScaleNormal="70" workbookViewId="0">
      <selection activeCell="G178" sqref="G178"/>
    </sheetView>
  </sheetViews>
  <sheetFormatPr defaultColWidth="9.109375" defaultRowHeight="14.4"/>
  <cols>
    <col min="1" max="1" width="24.6640625" style="243" customWidth="1"/>
    <col min="2" max="2" width="17.6640625" style="243" customWidth="1"/>
    <col min="3" max="3" width="26" style="244" customWidth="1"/>
    <col min="4" max="4" width="48.88671875" style="245" customWidth="1"/>
    <col min="5" max="5" width="31.21875" style="246" customWidth="1"/>
    <col min="6" max="6" width="2" style="247" customWidth="1"/>
    <col min="7" max="7" width="49.5546875" style="246" customWidth="1"/>
    <col min="8" max="8" width="54.5546875" style="246" customWidth="1"/>
    <col min="9" max="9" width="42.88671875" style="246" customWidth="1"/>
    <col min="10" max="10" width="9.109375" style="246" customWidth="1"/>
    <col min="11" max="16384" width="9.109375" style="246"/>
  </cols>
  <sheetData>
    <row r="2" spans="1:11" s="238" customFormat="1">
      <c r="A2" s="517" t="s">
        <v>913</v>
      </c>
      <c r="B2" s="517"/>
      <c r="C2" s="517"/>
      <c r="D2" s="517"/>
      <c r="E2" s="517"/>
      <c r="F2" s="248"/>
    </row>
    <row r="3" spans="1:11" s="238" customFormat="1">
      <c r="A3" s="240"/>
      <c r="B3" s="240"/>
      <c r="C3" s="249"/>
      <c r="D3" s="250"/>
      <c r="F3" s="248"/>
    </row>
    <row r="4" spans="1:11" s="239" customFormat="1">
      <c r="A4" s="517" t="s">
        <v>914</v>
      </c>
      <c r="B4" s="517"/>
      <c r="C4" s="517"/>
      <c r="D4" s="517"/>
      <c r="E4" s="517"/>
      <c r="F4" s="251"/>
      <c r="G4" s="517" t="s">
        <v>914</v>
      </c>
      <c r="H4" s="517"/>
      <c r="I4" s="517"/>
      <c r="J4" s="517"/>
      <c r="K4" s="517"/>
    </row>
    <row r="5" spans="1:11" s="238" customFormat="1">
      <c r="A5" s="239"/>
      <c r="B5" s="240"/>
      <c r="C5" s="249"/>
      <c r="D5" s="252"/>
      <c r="F5" s="248"/>
      <c r="G5" s="242" t="s">
        <v>915</v>
      </c>
    </row>
    <row r="6" spans="1:11" s="240" customFormat="1" ht="18" customHeight="1">
      <c r="A6" s="253" t="s">
        <v>110</v>
      </c>
      <c r="B6" s="253" t="s">
        <v>111</v>
      </c>
      <c r="C6" s="254" t="s">
        <v>112</v>
      </c>
      <c r="D6" s="250" t="s">
        <v>113</v>
      </c>
      <c r="E6" s="240" t="s">
        <v>916</v>
      </c>
      <c r="F6" s="255"/>
      <c r="G6" s="254" t="s">
        <v>112</v>
      </c>
      <c r="H6" s="250" t="s">
        <v>113</v>
      </c>
      <c r="I6" s="240" t="s">
        <v>916</v>
      </c>
    </row>
    <row r="7" spans="1:11">
      <c r="A7" s="243">
        <v>0</v>
      </c>
      <c r="B7" s="243">
        <v>1</v>
      </c>
      <c r="C7" s="244" t="s">
        <v>114</v>
      </c>
      <c r="D7" s="245" t="s">
        <v>115</v>
      </c>
      <c r="G7" s="244" t="s">
        <v>114</v>
      </c>
      <c r="H7" s="245" t="s">
        <v>115</v>
      </c>
    </row>
    <row r="8" spans="1:11">
      <c r="A8" s="243">
        <f t="shared" ref="A8:A32" si="0">A7+B7</f>
        <v>1</v>
      </c>
      <c r="B8" s="243">
        <v>1</v>
      </c>
      <c r="C8" s="244" t="s">
        <v>770</v>
      </c>
      <c r="D8" s="245" t="s">
        <v>917</v>
      </c>
      <c r="G8" s="244" t="s">
        <v>770</v>
      </c>
      <c r="H8" s="245" t="s">
        <v>917</v>
      </c>
    </row>
    <row r="9" spans="1:11">
      <c r="A9" s="243">
        <f t="shared" si="0"/>
        <v>2</v>
      </c>
      <c r="B9" s="243">
        <v>1</v>
      </c>
      <c r="C9" s="244" t="s">
        <v>138</v>
      </c>
      <c r="D9" s="245" t="s">
        <v>918</v>
      </c>
      <c r="G9" s="244" t="s">
        <v>138</v>
      </c>
      <c r="H9" s="245" t="s">
        <v>918</v>
      </c>
    </row>
    <row r="10" spans="1:11" ht="43.2">
      <c r="A10" s="243">
        <f t="shared" si="0"/>
        <v>3</v>
      </c>
      <c r="B10" s="243">
        <v>2</v>
      </c>
      <c r="C10" s="256" t="s">
        <v>120</v>
      </c>
      <c r="D10" s="245" t="str">
        <f>DEC2HEX(A32-5)</f>
        <v>24</v>
      </c>
      <c r="E10" s="257" t="s">
        <v>919</v>
      </c>
      <c r="G10" s="256" t="s">
        <v>120</v>
      </c>
      <c r="H10" s="245" t="str">
        <f>DEC2HEX(A32-5)</f>
        <v>24</v>
      </c>
      <c r="I10" s="257" t="s">
        <v>919</v>
      </c>
    </row>
    <row r="11" spans="1:11" s="241" customFormat="1">
      <c r="A11" s="243">
        <f t="shared" si="0"/>
        <v>5</v>
      </c>
      <c r="B11" s="258">
        <v>1</v>
      </c>
      <c r="C11" s="258" t="s">
        <v>649</v>
      </c>
      <c r="D11" s="259" t="s">
        <v>920</v>
      </c>
      <c r="F11" s="260"/>
      <c r="G11" s="258" t="s">
        <v>649</v>
      </c>
      <c r="H11" s="259" t="s">
        <v>920</v>
      </c>
    </row>
    <row r="12" spans="1:11">
      <c r="A12" s="243">
        <f t="shared" si="0"/>
        <v>6</v>
      </c>
      <c r="B12" s="243">
        <v>1</v>
      </c>
      <c r="C12" s="256" t="s">
        <v>921</v>
      </c>
      <c r="D12" s="245" t="s">
        <v>922</v>
      </c>
      <c r="G12" s="256" t="s">
        <v>921</v>
      </c>
      <c r="H12" s="245" t="s">
        <v>922</v>
      </c>
    </row>
    <row r="13" spans="1:11" ht="43.2">
      <c r="A13" s="243">
        <f t="shared" si="0"/>
        <v>7</v>
      </c>
      <c r="B13" s="243" t="s">
        <v>163</v>
      </c>
      <c r="C13" s="243" t="s">
        <v>168</v>
      </c>
      <c r="D13" s="261" t="s">
        <v>923</v>
      </c>
      <c r="G13" s="243" t="s">
        <v>168</v>
      </c>
      <c r="H13" s="261" t="s">
        <v>923</v>
      </c>
    </row>
    <row r="14" spans="1:11" ht="63" customHeight="1">
      <c r="A14" s="243">
        <f t="shared" si="0"/>
        <v>8</v>
      </c>
      <c r="B14" s="262">
        <v>1</v>
      </c>
      <c r="C14" s="256" t="s">
        <v>143</v>
      </c>
      <c r="D14" s="261" t="s">
        <v>924</v>
      </c>
      <c r="G14" s="256" t="s">
        <v>143</v>
      </c>
      <c r="H14" s="263" t="s">
        <v>925</v>
      </c>
    </row>
    <row r="15" spans="1:11" ht="129.6">
      <c r="A15" s="243">
        <f t="shared" si="0"/>
        <v>9</v>
      </c>
      <c r="B15" s="262" t="s">
        <v>163</v>
      </c>
      <c r="C15" s="243" t="s">
        <v>187</v>
      </c>
      <c r="D15" s="261" t="s">
        <v>926</v>
      </c>
      <c r="G15" s="243" t="s">
        <v>187</v>
      </c>
      <c r="H15" s="264" t="s">
        <v>927</v>
      </c>
    </row>
    <row r="16" spans="1:11" ht="43.2">
      <c r="A16" s="243">
        <f t="shared" si="0"/>
        <v>10</v>
      </c>
      <c r="B16" s="256" t="s">
        <v>163</v>
      </c>
      <c r="C16" s="256" t="s">
        <v>191</v>
      </c>
      <c r="D16" s="245" t="s">
        <v>928</v>
      </c>
      <c r="G16" s="256" t="s">
        <v>191</v>
      </c>
      <c r="H16" s="245" t="s">
        <v>928</v>
      </c>
    </row>
    <row r="17" spans="1:8">
      <c r="A17" s="243">
        <f t="shared" si="0"/>
        <v>11</v>
      </c>
      <c r="B17" s="243" t="s">
        <v>163</v>
      </c>
      <c r="C17" s="243" t="s">
        <v>252</v>
      </c>
      <c r="D17" s="245" t="s">
        <v>929</v>
      </c>
      <c r="G17" s="243" t="s">
        <v>252</v>
      </c>
      <c r="H17" s="245" t="s">
        <v>929</v>
      </c>
    </row>
    <row r="18" spans="1:8" ht="28.8">
      <c r="A18" s="243">
        <f t="shared" si="0"/>
        <v>12</v>
      </c>
      <c r="B18" s="256" t="s">
        <v>151</v>
      </c>
      <c r="C18" s="256" t="s">
        <v>186</v>
      </c>
      <c r="D18" s="245" t="s">
        <v>930</v>
      </c>
      <c r="G18" s="256" t="s">
        <v>186</v>
      </c>
      <c r="H18" s="245" t="s">
        <v>930</v>
      </c>
    </row>
    <row r="19" spans="1:8">
      <c r="A19" s="243">
        <f t="shared" si="0"/>
        <v>16</v>
      </c>
      <c r="B19" s="256" t="s">
        <v>148</v>
      </c>
      <c r="C19" s="256" t="s">
        <v>235</v>
      </c>
      <c r="D19" s="518" t="s">
        <v>614</v>
      </c>
      <c r="G19" s="256" t="s">
        <v>235</v>
      </c>
      <c r="H19" s="518" t="s">
        <v>614</v>
      </c>
    </row>
    <row r="20" spans="1:8">
      <c r="A20" s="243">
        <f t="shared" si="0"/>
        <v>19</v>
      </c>
      <c r="B20" s="256" t="s">
        <v>148</v>
      </c>
      <c r="C20" s="256" t="s">
        <v>238</v>
      </c>
      <c r="D20" s="518"/>
      <c r="G20" s="256" t="s">
        <v>238</v>
      </c>
      <c r="H20" s="518"/>
    </row>
    <row r="21" spans="1:8" ht="100.8">
      <c r="A21" s="243">
        <f t="shared" si="0"/>
        <v>22</v>
      </c>
      <c r="B21" s="262">
        <v>1</v>
      </c>
      <c r="C21" s="256" t="s">
        <v>931</v>
      </c>
      <c r="D21" s="245" t="s">
        <v>932</v>
      </c>
      <c r="G21" s="256" t="s">
        <v>931</v>
      </c>
      <c r="H21" s="245" t="s">
        <v>933</v>
      </c>
    </row>
    <row r="22" spans="1:8" ht="28.8">
      <c r="A22" s="243">
        <f t="shared" si="0"/>
        <v>23</v>
      </c>
      <c r="B22" s="256">
        <v>1</v>
      </c>
      <c r="C22" s="256" t="s">
        <v>934</v>
      </c>
      <c r="D22" s="245" t="s">
        <v>935</v>
      </c>
      <c r="G22" s="256" t="s">
        <v>934</v>
      </c>
      <c r="H22" s="245" t="s">
        <v>935</v>
      </c>
    </row>
    <row r="23" spans="1:8" ht="28.8">
      <c r="A23" s="243">
        <f t="shared" si="0"/>
        <v>24</v>
      </c>
      <c r="B23" s="256">
        <v>1</v>
      </c>
      <c r="C23" s="256" t="s">
        <v>936</v>
      </c>
      <c r="D23" s="261" t="s">
        <v>937</v>
      </c>
      <c r="G23" s="256" t="s">
        <v>936</v>
      </c>
      <c r="H23" s="261" t="s">
        <v>937</v>
      </c>
    </row>
    <row r="24" spans="1:8" ht="28.8">
      <c r="A24" s="243">
        <f t="shared" si="0"/>
        <v>25</v>
      </c>
      <c r="B24" s="256">
        <v>1</v>
      </c>
      <c r="C24" s="256" t="s">
        <v>938</v>
      </c>
      <c r="D24" s="261" t="s">
        <v>937</v>
      </c>
      <c r="G24" s="256" t="s">
        <v>938</v>
      </c>
      <c r="H24" s="261" t="s">
        <v>937</v>
      </c>
    </row>
    <row r="25" spans="1:8">
      <c r="A25" s="243">
        <f t="shared" si="0"/>
        <v>26</v>
      </c>
      <c r="B25" s="256">
        <v>1</v>
      </c>
      <c r="C25" s="256" t="s">
        <v>939</v>
      </c>
      <c r="D25" s="245" t="s">
        <v>940</v>
      </c>
      <c r="G25" s="256" t="s">
        <v>939</v>
      </c>
      <c r="H25" s="245" t="s">
        <v>940</v>
      </c>
    </row>
    <row r="26" spans="1:8">
      <c r="A26" s="243">
        <f t="shared" si="0"/>
        <v>27</v>
      </c>
      <c r="B26" s="256">
        <v>1</v>
      </c>
      <c r="C26" s="256" t="s">
        <v>941</v>
      </c>
      <c r="G26" s="256" t="s">
        <v>941</v>
      </c>
      <c r="H26" s="245"/>
    </row>
    <row r="27" spans="1:8">
      <c r="A27" s="243">
        <f t="shared" si="0"/>
        <v>28</v>
      </c>
      <c r="B27" s="256">
        <v>1</v>
      </c>
      <c r="C27" s="256" t="s">
        <v>942</v>
      </c>
      <c r="G27" s="256" t="s">
        <v>942</v>
      </c>
      <c r="H27" s="245"/>
    </row>
    <row r="28" spans="1:8" ht="72">
      <c r="A28" s="243">
        <f t="shared" si="0"/>
        <v>29</v>
      </c>
      <c r="B28" s="262">
        <v>5</v>
      </c>
      <c r="C28" s="256" t="s">
        <v>943</v>
      </c>
      <c r="D28" s="245" t="s">
        <v>944</v>
      </c>
      <c r="G28" s="256" t="s">
        <v>943</v>
      </c>
      <c r="H28" s="265" t="s">
        <v>945</v>
      </c>
    </row>
    <row r="29" spans="1:8">
      <c r="A29" s="243">
        <f t="shared" si="0"/>
        <v>34</v>
      </c>
      <c r="B29" s="243">
        <v>2</v>
      </c>
      <c r="C29" s="243" t="s">
        <v>127</v>
      </c>
      <c r="D29" s="245" t="s">
        <v>128</v>
      </c>
      <c r="G29" s="243" t="s">
        <v>127</v>
      </c>
      <c r="H29" s="245" t="s">
        <v>128</v>
      </c>
    </row>
    <row r="30" spans="1:8" ht="28.8">
      <c r="A30" s="243">
        <f t="shared" si="0"/>
        <v>36</v>
      </c>
      <c r="B30" s="243">
        <v>4</v>
      </c>
      <c r="C30" s="243" t="s">
        <v>129</v>
      </c>
      <c r="D30" s="245" t="s">
        <v>130</v>
      </c>
      <c r="G30" s="243" t="s">
        <v>129</v>
      </c>
      <c r="H30" s="245" t="s">
        <v>130</v>
      </c>
    </row>
    <row r="31" spans="1:8">
      <c r="A31" s="243">
        <f t="shared" si="0"/>
        <v>40</v>
      </c>
      <c r="B31" s="243">
        <v>1</v>
      </c>
      <c r="C31" s="243" t="s">
        <v>131</v>
      </c>
      <c r="D31" s="245" t="s">
        <v>132</v>
      </c>
      <c r="G31" s="243" t="s">
        <v>131</v>
      </c>
      <c r="H31" s="245" t="s">
        <v>132</v>
      </c>
    </row>
    <row r="32" spans="1:8">
      <c r="A32" s="243">
        <f t="shared" si="0"/>
        <v>41</v>
      </c>
      <c r="B32" s="243" t="s">
        <v>486</v>
      </c>
    </row>
    <row r="37" spans="1:11" s="238" customFormat="1">
      <c r="A37" s="517" t="s">
        <v>946</v>
      </c>
      <c r="B37" s="517"/>
      <c r="C37" s="517"/>
      <c r="D37" s="517"/>
      <c r="E37" s="517"/>
      <c r="F37" s="248"/>
      <c r="G37" s="517" t="s">
        <v>946</v>
      </c>
      <c r="H37" s="517"/>
      <c r="I37" s="517"/>
      <c r="J37" s="517"/>
      <c r="K37" s="517"/>
    </row>
    <row r="38" spans="1:11" s="238" customFormat="1">
      <c r="A38" s="240"/>
      <c r="B38" s="240"/>
      <c r="C38" s="249"/>
      <c r="D38" s="250"/>
      <c r="F38" s="248"/>
    </row>
    <row r="39" spans="1:11" s="239" customFormat="1">
      <c r="A39" s="517" t="s">
        <v>947</v>
      </c>
      <c r="B39" s="517"/>
      <c r="C39" s="517"/>
      <c r="D39" s="517"/>
      <c r="E39" s="517"/>
      <c r="F39" s="251"/>
    </row>
    <row r="40" spans="1:11" s="238" customFormat="1">
      <c r="A40" s="239"/>
      <c r="B40" s="240"/>
      <c r="C40" s="249"/>
      <c r="D40" s="252"/>
      <c r="F40" s="248"/>
    </row>
    <row r="41" spans="1:11" s="242" customFormat="1">
      <c r="A41" s="266" t="s">
        <v>110</v>
      </c>
      <c r="B41" s="266" t="s">
        <v>111</v>
      </c>
      <c r="C41" s="267" t="s">
        <v>112</v>
      </c>
      <c r="D41" s="268" t="s">
        <v>113</v>
      </c>
      <c r="F41" s="269"/>
      <c r="G41" s="267" t="s">
        <v>112</v>
      </c>
      <c r="H41" s="268" t="s">
        <v>113</v>
      </c>
    </row>
    <row r="42" spans="1:11">
      <c r="A42" s="243">
        <v>0</v>
      </c>
      <c r="B42" s="243">
        <v>1</v>
      </c>
      <c r="C42" s="244" t="s">
        <v>114</v>
      </c>
      <c r="D42" s="245" t="s">
        <v>115</v>
      </c>
      <c r="G42" s="244" t="s">
        <v>114</v>
      </c>
      <c r="H42" s="245" t="s">
        <v>115</v>
      </c>
    </row>
    <row r="43" spans="1:11">
      <c r="A43" s="243">
        <f t="shared" ref="A43:A110" si="1">A42+B42</f>
        <v>1</v>
      </c>
      <c r="B43" s="243">
        <v>1</v>
      </c>
      <c r="C43" s="244" t="s">
        <v>649</v>
      </c>
      <c r="D43" s="245" t="s">
        <v>948</v>
      </c>
      <c r="G43" s="244" t="s">
        <v>649</v>
      </c>
      <c r="H43" s="245" t="s">
        <v>948</v>
      </c>
    </row>
    <row r="44" spans="1:11">
      <c r="A44" s="243">
        <f t="shared" si="1"/>
        <v>2</v>
      </c>
      <c r="B44" s="243">
        <v>1</v>
      </c>
      <c r="C44" s="244" t="s">
        <v>138</v>
      </c>
      <c r="D44" s="245" t="s">
        <v>949</v>
      </c>
      <c r="G44" s="244" t="s">
        <v>138</v>
      </c>
      <c r="H44" s="245" t="s">
        <v>949</v>
      </c>
    </row>
    <row r="45" spans="1:11" ht="43.2">
      <c r="A45" s="243">
        <f t="shared" si="1"/>
        <v>3</v>
      </c>
      <c r="B45" s="243">
        <v>2</v>
      </c>
      <c r="C45" s="256" t="s">
        <v>120</v>
      </c>
      <c r="D45" s="245" t="str">
        <f>DEC2HEX(A138-5)</f>
        <v>A4</v>
      </c>
      <c r="E45" s="257"/>
      <c r="G45" s="256" t="s">
        <v>120</v>
      </c>
      <c r="H45" s="245" t="str">
        <f>DEC2HEX(E138-5)</f>
        <v>FFFFFFFFFB</v>
      </c>
    </row>
    <row r="46" spans="1:11" s="241" customFormat="1">
      <c r="A46" s="243">
        <f t="shared" si="1"/>
        <v>5</v>
      </c>
      <c r="B46" s="258">
        <v>1</v>
      </c>
      <c r="C46" s="256" t="s">
        <v>921</v>
      </c>
      <c r="D46" s="245" t="s">
        <v>950</v>
      </c>
      <c r="F46" s="260"/>
      <c r="G46" s="256" t="s">
        <v>921</v>
      </c>
      <c r="H46" s="245" t="s">
        <v>950</v>
      </c>
    </row>
    <row r="47" spans="1:11" ht="244.8">
      <c r="A47" s="243">
        <f t="shared" si="1"/>
        <v>6</v>
      </c>
      <c r="B47" s="243" t="s">
        <v>163</v>
      </c>
      <c r="C47" s="270" t="s">
        <v>184</v>
      </c>
      <c r="D47" s="271" t="s">
        <v>951</v>
      </c>
      <c r="G47" s="270" t="s">
        <v>184</v>
      </c>
      <c r="H47" s="271" t="s">
        <v>951</v>
      </c>
    </row>
    <row r="48" spans="1:11" s="241" customFormat="1" ht="57.6">
      <c r="A48" s="243">
        <f t="shared" si="1"/>
        <v>7</v>
      </c>
      <c r="B48" s="258">
        <v>1</v>
      </c>
      <c r="C48" s="256" t="s">
        <v>952</v>
      </c>
      <c r="D48" s="245" t="s">
        <v>953</v>
      </c>
      <c r="F48" s="260"/>
      <c r="G48" s="256" t="s">
        <v>952</v>
      </c>
      <c r="H48" s="245" t="s">
        <v>953</v>
      </c>
    </row>
    <row r="49" spans="1:8" s="241" customFormat="1">
      <c r="A49" s="243">
        <f t="shared" si="1"/>
        <v>8</v>
      </c>
      <c r="B49" s="258">
        <v>3</v>
      </c>
      <c r="C49" s="256" t="s">
        <v>195</v>
      </c>
      <c r="D49" s="245" t="s">
        <v>954</v>
      </c>
      <c r="F49" s="260"/>
      <c r="G49" s="256" t="s">
        <v>195</v>
      </c>
      <c r="H49" s="245" t="s">
        <v>954</v>
      </c>
    </row>
    <row r="50" spans="1:8" ht="12.75" customHeight="1">
      <c r="A50" s="243">
        <f t="shared" si="1"/>
        <v>11</v>
      </c>
      <c r="B50" s="256" t="s">
        <v>163</v>
      </c>
      <c r="C50" s="256" t="s">
        <v>197</v>
      </c>
      <c r="D50" s="518" t="s">
        <v>955</v>
      </c>
      <c r="G50" s="256" t="s">
        <v>197</v>
      </c>
      <c r="H50" s="518" t="s">
        <v>955</v>
      </c>
    </row>
    <row r="51" spans="1:8">
      <c r="A51" s="243">
        <f t="shared" si="1"/>
        <v>12</v>
      </c>
      <c r="B51" s="243" t="s">
        <v>163</v>
      </c>
      <c r="C51" s="256" t="s">
        <v>198</v>
      </c>
      <c r="D51" s="518"/>
      <c r="G51" s="256" t="s">
        <v>198</v>
      </c>
      <c r="H51" s="518"/>
    </row>
    <row r="52" spans="1:8">
      <c r="A52" s="243">
        <f t="shared" si="1"/>
        <v>13</v>
      </c>
      <c r="B52" s="256" t="s">
        <v>163</v>
      </c>
      <c r="C52" s="256" t="s">
        <v>199</v>
      </c>
      <c r="D52" s="518"/>
      <c r="G52" s="256" t="s">
        <v>199</v>
      </c>
      <c r="H52" s="518"/>
    </row>
    <row r="53" spans="1:8" ht="28.8">
      <c r="A53" s="243">
        <f t="shared" si="1"/>
        <v>14</v>
      </c>
      <c r="B53" s="243" t="s">
        <v>148</v>
      </c>
      <c r="C53" s="243" t="s">
        <v>202</v>
      </c>
      <c r="D53" s="272" t="s">
        <v>956</v>
      </c>
      <c r="G53" s="243" t="s">
        <v>202</v>
      </c>
      <c r="H53" s="272" t="s">
        <v>956</v>
      </c>
    </row>
    <row r="54" spans="1:8">
      <c r="A54" s="243">
        <f t="shared" si="1"/>
        <v>17</v>
      </c>
      <c r="B54" s="273">
        <v>2</v>
      </c>
      <c r="C54" s="258" t="s">
        <v>957</v>
      </c>
      <c r="D54" s="272"/>
      <c r="G54" s="258" t="s">
        <v>957</v>
      </c>
      <c r="H54" s="272"/>
    </row>
    <row r="55" spans="1:8" ht="28.8">
      <c r="A55" s="243">
        <f t="shared" si="1"/>
        <v>19</v>
      </c>
      <c r="B55" s="274">
        <v>2</v>
      </c>
      <c r="C55" s="258" t="s">
        <v>206</v>
      </c>
      <c r="D55" s="272"/>
      <c r="G55" s="275" t="s">
        <v>207</v>
      </c>
      <c r="H55" s="276" t="s">
        <v>205</v>
      </c>
    </row>
    <row r="56" spans="1:8" ht="28.8">
      <c r="A56" s="243">
        <f t="shared" si="1"/>
        <v>21</v>
      </c>
      <c r="B56" s="274">
        <v>2</v>
      </c>
      <c r="C56" s="258" t="s">
        <v>208</v>
      </c>
      <c r="D56" s="272"/>
      <c r="G56" s="275" t="s">
        <v>209</v>
      </c>
      <c r="H56" s="276" t="s">
        <v>205</v>
      </c>
    </row>
    <row r="57" spans="1:8" ht="12.75" customHeight="1">
      <c r="A57" s="243">
        <f t="shared" si="1"/>
        <v>23</v>
      </c>
      <c r="B57" s="256" t="s">
        <v>148</v>
      </c>
      <c r="C57" s="256" t="s">
        <v>259</v>
      </c>
      <c r="D57" s="519" t="s">
        <v>958</v>
      </c>
      <c r="G57" s="256" t="s">
        <v>259</v>
      </c>
      <c r="H57" s="519" t="s">
        <v>958</v>
      </c>
    </row>
    <row r="58" spans="1:8">
      <c r="A58" s="243">
        <f t="shared" si="1"/>
        <v>26</v>
      </c>
      <c r="B58" s="256" t="s">
        <v>148</v>
      </c>
      <c r="C58" s="256" t="s">
        <v>261</v>
      </c>
      <c r="D58" s="519"/>
      <c r="G58" s="256" t="s">
        <v>261</v>
      </c>
      <c r="H58" s="519"/>
    </row>
    <row r="59" spans="1:8" ht="25.5" customHeight="1">
      <c r="A59" s="243">
        <f t="shared" si="1"/>
        <v>29</v>
      </c>
      <c r="B59" s="243" t="s">
        <v>148</v>
      </c>
      <c r="C59" s="256" t="s">
        <v>262</v>
      </c>
      <c r="D59" s="520" t="s">
        <v>959</v>
      </c>
      <c r="G59" s="256" t="s">
        <v>262</v>
      </c>
      <c r="H59" s="520" t="s">
        <v>959</v>
      </c>
    </row>
    <row r="60" spans="1:8" ht="28.8">
      <c r="A60" s="243">
        <f t="shared" si="1"/>
        <v>32</v>
      </c>
      <c r="B60" s="256" t="s">
        <v>148</v>
      </c>
      <c r="C60" s="256" t="s">
        <v>265</v>
      </c>
      <c r="D60" s="520"/>
      <c r="G60" s="256" t="s">
        <v>265</v>
      </c>
      <c r="H60" s="520"/>
    </row>
    <row r="61" spans="1:8" ht="12.75" customHeight="1">
      <c r="A61" s="243">
        <f t="shared" si="1"/>
        <v>35</v>
      </c>
      <c r="B61" s="256" t="s">
        <v>148</v>
      </c>
      <c r="C61" s="256" t="s">
        <v>266</v>
      </c>
      <c r="D61" s="521" t="s">
        <v>960</v>
      </c>
      <c r="G61" s="256" t="s">
        <v>266</v>
      </c>
      <c r="H61" s="521" t="s">
        <v>960</v>
      </c>
    </row>
    <row r="62" spans="1:8">
      <c r="A62" s="243">
        <f t="shared" si="1"/>
        <v>38</v>
      </c>
      <c r="B62" s="256" t="s">
        <v>148</v>
      </c>
      <c r="C62" s="256" t="s">
        <v>269</v>
      </c>
      <c r="D62" s="521"/>
      <c r="G62" s="256" t="s">
        <v>269</v>
      </c>
      <c r="H62" s="521"/>
    </row>
    <row r="63" spans="1:8">
      <c r="A63" s="243">
        <f t="shared" si="1"/>
        <v>41</v>
      </c>
      <c r="B63" s="256">
        <v>3</v>
      </c>
      <c r="C63" s="256" t="s">
        <v>270</v>
      </c>
      <c r="D63" s="277"/>
      <c r="G63" s="256" t="s">
        <v>270</v>
      </c>
      <c r="H63" s="277"/>
    </row>
    <row r="64" spans="1:8">
      <c r="A64" s="243">
        <f t="shared" si="1"/>
        <v>44</v>
      </c>
      <c r="B64" s="256">
        <v>3</v>
      </c>
      <c r="C64" s="256" t="s">
        <v>271</v>
      </c>
      <c r="D64" s="277"/>
      <c r="G64" s="256" t="s">
        <v>271</v>
      </c>
      <c r="H64" s="277"/>
    </row>
    <row r="65" spans="1:8">
      <c r="A65" s="243">
        <f t="shared" si="1"/>
        <v>47</v>
      </c>
      <c r="B65" s="256">
        <v>3</v>
      </c>
      <c r="C65" s="256" t="s">
        <v>961</v>
      </c>
      <c r="D65" s="277"/>
      <c r="G65" s="256" t="s">
        <v>961</v>
      </c>
      <c r="H65" s="277"/>
    </row>
    <row r="66" spans="1:8">
      <c r="A66" s="243">
        <f t="shared" si="1"/>
        <v>50</v>
      </c>
      <c r="B66" s="256">
        <v>3</v>
      </c>
      <c r="C66" s="256" t="s">
        <v>962</v>
      </c>
      <c r="D66" s="277"/>
      <c r="G66" s="256" t="s">
        <v>962</v>
      </c>
      <c r="H66" s="277"/>
    </row>
    <row r="67" spans="1:8">
      <c r="A67" s="243">
        <f t="shared" si="1"/>
        <v>53</v>
      </c>
      <c r="B67" s="256">
        <v>3</v>
      </c>
      <c r="C67" s="256" t="s">
        <v>274</v>
      </c>
      <c r="D67" s="277"/>
      <c r="G67" s="256" t="s">
        <v>274</v>
      </c>
      <c r="H67" s="277"/>
    </row>
    <row r="68" spans="1:8">
      <c r="A68" s="243">
        <f t="shared" si="1"/>
        <v>56</v>
      </c>
      <c r="B68" s="256">
        <v>3</v>
      </c>
      <c r="C68" s="256" t="s">
        <v>275</v>
      </c>
      <c r="D68" s="277"/>
      <c r="G68" s="256" t="s">
        <v>275</v>
      </c>
      <c r="H68" s="277"/>
    </row>
    <row r="69" spans="1:8" ht="12.75" customHeight="1">
      <c r="A69" s="243">
        <f t="shared" si="1"/>
        <v>59</v>
      </c>
      <c r="B69" s="256" t="s">
        <v>151</v>
      </c>
      <c r="C69" s="256" t="s">
        <v>276</v>
      </c>
      <c r="D69" s="522" t="s">
        <v>963</v>
      </c>
      <c r="G69" s="256" t="s">
        <v>276</v>
      </c>
      <c r="H69" s="522" t="s">
        <v>963</v>
      </c>
    </row>
    <row r="70" spans="1:8">
      <c r="A70" s="243">
        <f t="shared" si="1"/>
        <v>63</v>
      </c>
      <c r="B70" s="256" t="s">
        <v>151</v>
      </c>
      <c r="C70" s="256" t="s">
        <v>278</v>
      </c>
      <c r="D70" s="522"/>
      <c r="G70" s="256" t="s">
        <v>278</v>
      </c>
      <c r="H70" s="522"/>
    </row>
    <row r="71" spans="1:8">
      <c r="A71" s="243">
        <f t="shared" si="1"/>
        <v>67</v>
      </c>
      <c r="B71" s="256" t="s">
        <v>151</v>
      </c>
      <c r="C71" s="256" t="s">
        <v>279</v>
      </c>
      <c r="D71" s="522"/>
      <c r="G71" s="256" t="s">
        <v>279</v>
      </c>
      <c r="H71" s="522"/>
    </row>
    <row r="72" spans="1:8" ht="60.9" customHeight="1">
      <c r="A72" s="243">
        <f t="shared" si="1"/>
        <v>71</v>
      </c>
      <c r="B72" s="256" t="s">
        <v>151</v>
      </c>
      <c r="C72" s="256" t="s">
        <v>280</v>
      </c>
      <c r="D72" s="522"/>
      <c r="G72" s="256" t="s">
        <v>280</v>
      </c>
      <c r="H72" s="522"/>
    </row>
    <row r="73" spans="1:8" ht="129.6">
      <c r="A73" s="243">
        <f t="shared" si="1"/>
        <v>75</v>
      </c>
      <c r="B73" s="256" t="s">
        <v>151</v>
      </c>
      <c r="C73" s="256" t="s">
        <v>281</v>
      </c>
      <c r="D73" s="278" t="s">
        <v>964</v>
      </c>
      <c r="G73" s="256" t="s">
        <v>281</v>
      </c>
      <c r="H73" s="278" t="s">
        <v>964</v>
      </c>
    </row>
    <row r="74" spans="1:8" ht="12.75" customHeight="1">
      <c r="A74" s="243">
        <f t="shared" si="1"/>
        <v>79</v>
      </c>
      <c r="B74" s="256" t="s">
        <v>145</v>
      </c>
      <c r="C74" s="256" t="s">
        <v>282</v>
      </c>
      <c r="D74" s="518" t="s">
        <v>965</v>
      </c>
      <c r="G74" s="256" t="s">
        <v>282</v>
      </c>
      <c r="H74" s="518" t="s">
        <v>965</v>
      </c>
    </row>
    <row r="75" spans="1:8">
      <c r="A75" s="243">
        <f t="shared" si="1"/>
        <v>81</v>
      </c>
      <c r="B75" s="256" t="s">
        <v>145</v>
      </c>
      <c r="C75" s="243" t="s">
        <v>284</v>
      </c>
      <c r="D75" s="518"/>
      <c r="G75" s="243" t="s">
        <v>284</v>
      </c>
      <c r="H75" s="518"/>
    </row>
    <row r="76" spans="1:8" ht="43.2">
      <c r="A76" s="243">
        <f t="shared" si="1"/>
        <v>83</v>
      </c>
      <c r="B76" s="279" t="s">
        <v>148</v>
      </c>
      <c r="C76" s="270" t="s">
        <v>285</v>
      </c>
      <c r="D76" s="278"/>
      <c r="G76" s="280" t="s">
        <v>287</v>
      </c>
      <c r="H76" s="281" t="s">
        <v>267</v>
      </c>
    </row>
    <row r="77" spans="1:8" ht="43.2">
      <c r="A77" s="243">
        <f t="shared" si="1"/>
        <v>86</v>
      </c>
      <c r="B77" s="279" t="s">
        <v>148</v>
      </c>
      <c r="C77" s="270" t="s">
        <v>289</v>
      </c>
      <c r="D77" s="278"/>
      <c r="G77" s="280" t="s">
        <v>291</v>
      </c>
      <c r="H77" s="281" t="s">
        <v>267</v>
      </c>
    </row>
    <row r="78" spans="1:8" ht="43.2">
      <c r="A78" s="243">
        <f t="shared" si="1"/>
        <v>89</v>
      </c>
      <c r="B78" s="279" t="s">
        <v>148</v>
      </c>
      <c r="C78" s="270" t="s">
        <v>292</v>
      </c>
      <c r="D78" s="278"/>
      <c r="G78" s="280" t="s">
        <v>293</v>
      </c>
      <c r="H78" s="281" t="s">
        <v>267</v>
      </c>
    </row>
    <row r="79" spans="1:8">
      <c r="A79" s="243">
        <f t="shared" si="1"/>
        <v>92</v>
      </c>
      <c r="B79" s="270" t="s">
        <v>148</v>
      </c>
      <c r="C79" s="256" t="s">
        <v>219</v>
      </c>
      <c r="D79" s="278"/>
      <c r="G79" s="256" t="s">
        <v>219</v>
      </c>
      <c r="H79" s="278"/>
    </row>
    <row r="80" spans="1:8">
      <c r="A80" s="243">
        <f t="shared" si="1"/>
        <v>95</v>
      </c>
      <c r="B80" s="270" t="s">
        <v>148</v>
      </c>
      <c r="C80" s="256" t="s">
        <v>221</v>
      </c>
      <c r="D80" s="278"/>
      <c r="G80" s="256" t="s">
        <v>221</v>
      </c>
      <c r="H80" s="278"/>
    </row>
    <row r="81" spans="1:8">
      <c r="A81" s="243">
        <f t="shared" si="1"/>
        <v>98</v>
      </c>
      <c r="B81" s="270" t="s">
        <v>148</v>
      </c>
      <c r="C81" s="256" t="s">
        <v>222</v>
      </c>
      <c r="D81" s="278"/>
      <c r="G81" s="256" t="s">
        <v>222</v>
      </c>
      <c r="H81" s="278"/>
    </row>
    <row r="82" spans="1:8">
      <c r="A82" s="243">
        <f t="shared" si="1"/>
        <v>101</v>
      </c>
      <c r="B82" s="270" t="s">
        <v>148</v>
      </c>
      <c r="C82" s="256" t="s">
        <v>223</v>
      </c>
      <c r="D82" s="278"/>
      <c r="G82" s="256" t="s">
        <v>223</v>
      </c>
      <c r="H82" s="278"/>
    </row>
    <row r="83" spans="1:8" ht="12.75" customHeight="1">
      <c r="A83" s="243">
        <f t="shared" si="1"/>
        <v>104</v>
      </c>
      <c r="B83" s="243" t="s">
        <v>163</v>
      </c>
      <c r="C83" s="243" t="s">
        <v>224</v>
      </c>
      <c r="D83" s="523" t="s">
        <v>966</v>
      </c>
      <c r="G83" s="243" t="s">
        <v>224</v>
      </c>
      <c r="H83" s="523" t="s">
        <v>966</v>
      </c>
    </row>
    <row r="84" spans="1:8">
      <c r="A84" s="243">
        <f t="shared" si="1"/>
        <v>105</v>
      </c>
      <c r="B84" s="243" t="s">
        <v>163</v>
      </c>
      <c r="C84" s="243" t="s">
        <v>225</v>
      </c>
      <c r="D84" s="523"/>
      <c r="G84" s="243" t="s">
        <v>225</v>
      </c>
      <c r="H84" s="523"/>
    </row>
    <row r="85" spans="1:8">
      <c r="A85" s="243">
        <f t="shared" si="1"/>
        <v>106</v>
      </c>
      <c r="B85" s="243" t="s">
        <v>163</v>
      </c>
      <c r="C85" s="243" t="s">
        <v>226</v>
      </c>
      <c r="D85" s="523"/>
      <c r="G85" s="243" t="s">
        <v>226</v>
      </c>
      <c r="H85" s="523"/>
    </row>
    <row r="86" spans="1:8">
      <c r="A86" s="243">
        <f t="shared" si="1"/>
        <v>107</v>
      </c>
      <c r="B86" s="243" t="s">
        <v>163</v>
      </c>
      <c r="C86" s="243" t="s">
        <v>227</v>
      </c>
      <c r="D86" s="523"/>
      <c r="G86" s="243" t="s">
        <v>227</v>
      </c>
      <c r="H86" s="523"/>
    </row>
    <row r="87" spans="1:8">
      <c r="A87" s="243">
        <f t="shared" si="1"/>
        <v>108</v>
      </c>
      <c r="B87" s="243" t="s">
        <v>163</v>
      </c>
      <c r="C87" s="243" t="s">
        <v>228</v>
      </c>
      <c r="D87" s="523"/>
      <c r="G87" s="243" t="s">
        <v>228</v>
      </c>
      <c r="H87" s="523"/>
    </row>
    <row r="88" spans="1:8">
      <c r="A88" s="243">
        <f t="shared" si="1"/>
        <v>109</v>
      </c>
      <c r="B88" s="243" t="s">
        <v>163</v>
      </c>
      <c r="C88" s="243" t="s">
        <v>229</v>
      </c>
      <c r="D88" s="523"/>
      <c r="G88" s="243" t="s">
        <v>229</v>
      </c>
      <c r="H88" s="523"/>
    </row>
    <row r="89" spans="1:8" ht="12.75" customHeight="1">
      <c r="A89" s="243">
        <f t="shared" si="1"/>
        <v>110</v>
      </c>
      <c r="B89" s="243" t="s">
        <v>163</v>
      </c>
      <c r="C89" s="243" t="s">
        <v>230</v>
      </c>
      <c r="D89" s="523"/>
      <c r="G89" s="243" t="s">
        <v>230</v>
      </c>
      <c r="H89" s="523"/>
    </row>
    <row r="90" spans="1:8">
      <c r="A90" s="243">
        <f t="shared" si="1"/>
        <v>111</v>
      </c>
      <c r="B90" s="243" t="s">
        <v>163</v>
      </c>
      <c r="C90" s="243" t="s">
        <v>967</v>
      </c>
      <c r="D90" s="523"/>
      <c r="G90" s="243" t="s">
        <v>967</v>
      </c>
      <c r="H90" s="523"/>
    </row>
    <row r="91" spans="1:8">
      <c r="A91" s="243">
        <f t="shared" si="1"/>
        <v>112</v>
      </c>
      <c r="B91" s="270">
        <v>1</v>
      </c>
      <c r="C91" s="270" t="s">
        <v>232</v>
      </c>
      <c r="D91" s="523"/>
      <c r="G91" s="270" t="s">
        <v>232</v>
      </c>
      <c r="H91" s="523"/>
    </row>
    <row r="92" spans="1:8">
      <c r="A92" s="243">
        <f t="shared" si="1"/>
        <v>113</v>
      </c>
      <c r="B92" s="270">
        <v>1</v>
      </c>
      <c r="C92" s="270" t="s">
        <v>233</v>
      </c>
      <c r="D92" s="523"/>
      <c r="G92" s="270" t="s">
        <v>233</v>
      </c>
      <c r="H92" s="523"/>
    </row>
    <row r="93" spans="1:8">
      <c r="A93" s="243">
        <f t="shared" si="1"/>
        <v>114</v>
      </c>
      <c r="B93" s="270">
        <v>1</v>
      </c>
      <c r="C93" s="270" t="s">
        <v>234</v>
      </c>
      <c r="D93" s="523"/>
      <c r="G93" s="270" t="s">
        <v>234</v>
      </c>
      <c r="H93" s="523"/>
    </row>
    <row r="94" spans="1:8" ht="28.8">
      <c r="A94" s="243">
        <f t="shared" si="1"/>
        <v>115</v>
      </c>
      <c r="B94" s="243" t="s">
        <v>163</v>
      </c>
      <c r="C94" s="243" t="s">
        <v>239</v>
      </c>
      <c r="D94" s="282" t="s">
        <v>968</v>
      </c>
      <c r="G94" s="243" t="s">
        <v>239</v>
      </c>
      <c r="H94" s="282" t="s">
        <v>968</v>
      </c>
    </row>
    <row r="95" spans="1:8" ht="12.75" customHeight="1">
      <c r="A95" s="243">
        <f t="shared" si="1"/>
        <v>116</v>
      </c>
      <c r="B95" s="256" t="s">
        <v>148</v>
      </c>
      <c r="C95" s="256" t="s">
        <v>969</v>
      </c>
      <c r="D95" s="518" t="s">
        <v>970</v>
      </c>
      <c r="G95" s="256" t="s">
        <v>969</v>
      </c>
      <c r="H95" s="518" t="s">
        <v>970</v>
      </c>
    </row>
    <row r="96" spans="1:8">
      <c r="A96" s="243">
        <f t="shared" si="1"/>
        <v>119</v>
      </c>
      <c r="B96" s="243" t="s">
        <v>148</v>
      </c>
      <c r="C96" s="256" t="s">
        <v>971</v>
      </c>
      <c r="D96" s="518"/>
      <c r="G96" s="256" t="s">
        <v>971</v>
      </c>
      <c r="H96" s="518"/>
    </row>
    <row r="97" spans="1:10">
      <c r="A97" s="243">
        <f t="shared" si="1"/>
        <v>122</v>
      </c>
      <c r="B97" s="243" t="s">
        <v>163</v>
      </c>
      <c r="C97" s="243" t="s">
        <v>972</v>
      </c>
      <c r="G97" s="243" t="s">
        <v>972</v>
      </c>
      <c r="H97" s="245"/>
    </row>
    <row r="98" spans="1:10">
      <c r="A98" s="243">
        <f t="shared" si="1"/>
        <v>123</v>
      </c>
      <c r="B98" s="243" t="s">
        <v>163</v>
      </c>
      <c r="C98" s="243" t="s">
        <v>973</v>
      </c>
      <c r="G98" s="243" t="s">
        <v>973</v>
      </c>
      <c r="H98" s="245"/>
    </row>
    <row r="99" spans="1:10" ht="12.75" customHeight="1">
      <c r="A99" s="243">
        <f t="shared" si="1"/>
        <v>124</v>
      </c>
      <c r="B99" s="243" t="s">
        <v>163</v>
      </c>
      <c r="C99" s="243" t="s">
        <v>302</v>
      </c>
      <c r="D99" s="518" t="s">
        <v>955</v>
      </c>
      <c r="G99" s="243" t="s">
        <v>302</v>
      </c>
      <c r="H99" s="529" t="s">
        <v>974</v>
      </c>
    </row>
    <row r="100" spans="1:10">
      <c r="A100" s="243">
        <f t="shared" si="1"/>
        <v>125</v>
      </c>
      <c r="B100" s="243" t="s">
        <v>163</v>
      </c>
      <c r="C100" s="243" t="s">
        <v>303</v>
      </c>
      <c r="D100" s="518"/>
      <c r="G100" s="243" t="s">
        <v>303</v>
      </c>
      <c r="H100" s="530"/>
    </row>
    <row r="101" spans="1:10">
      <c r="A101" s="243">
        <f t="shared" si="1"/>
        <v>126</v>
      </c>
      <c r="B101" s="243" t="s">
        <v>163</v>
      </c>
      <c r="C101" s="243" t="s">
        <v>304</v>
      </c>
      <c r="D101" s="518"/>
      <c r="G101" s="243" t="s">
        <v>304</v>
      </c>
      <c r="H101" s="530"/>
    </row>
    <row r="102" spans="1:10">
      <c r="A102" s="243">
        <f t="shared" si="1"/>
        <v>127</v>
      </c>
      <c r="B102" s="243" t="s">
        <v>163</v>
      </c>
      <c r="C102" s="243" t="s">
        <v>307</v>
      </c>
      <c r="D102" s="518"/>
      <c r="G102" s="243" t="s">
        <v>307</v>
      </c>
      <c r="H102" s="531"/>
    </row>
    <row r="103" spans="1:10">
      <c r="A103" s="243">
        <f t="shared" si="1"/>
        <v>128</v>
      </c>
      <c r="B103" s="279" t="s">
        <v>163</v>
      </c>
      <c r="C103" s="243" t="s">
        <v>308</v>
      </c>
      <c r="D103" s="518"/>
      <c r="G103" s="525" t="s">
        <v>309</v>
      </c>
      <c r="H103" s="525" t="s">
        <v>267</v>
      </c>
    </row>
    <row r="104" spans="1:10">
      <c r="A104" s="243">
        <f t="shared" si="1"/>
        <v>129</v>
      </c>
      <c r="B104" s="279" t="s">
        <v>163</v>
      </c>
      <c r="C104" s="243" t="s">
        <v>310</v>
      </c>
      <c r="D104" s="518"/>
      <c r="G104" s="525"/>
      <c r="H104" s="525"/>
    </row>
    <row r="105" spans="1:10">
      <c r="A105" s="243">
        <f t="shared" si="1"/>
        <v>130</v>
      </c>
      <c r="B105" s="279" t="s">
        <v>163</v>
      </c>
      <c r="C105" s="243" t="s">
        <v>311</v>
      </c>
      <c r="D105" s="518"/>
      <c r="G105" s="525"/>
      <c r="H105" s="525"/>
    </row>
    <row r="106" spans="1:10">
      <c r="A106" s="243">
        <f t="shared" si="1"/>
        <v>131</v>
      </c>
      <c r="B106" s="279" t="s">
        <v>163</v>
      </c>
      <c r="C106" s="243" t="s">
        <v>312</v>
      </c>
      <c r="D106" s="518"/>
      <c r="G106" s="525" t="s">
        <v>313</v>
      </c>
      <c r="H106" s="532" t="s">
        <v>267</v>
      </c>
    </row>
    <row r="107" spans="1:10">
      <c r="A107" s="243">
        <f t="shared" si="1"/>
        <v>132</v>
      </c>
      <c r="B107" s="279" t="s">
        <v>163</v>
      </c>
      <c r="C107" s="243" t="s">
        <v>314</v>
      </c>
      <c r="D107" s="518"/>
      <c r="G107" s="525"/>
      <c r="H107" s="533"/>
    </row>
    <row r="108" spans="1:10">
      <c r="A108" s="243">
        <f t="shared" si="1"/>
        <v>133</v>
      </c>
      <c r="B108" s="279">
        <v>1</v>
      </c>
      <c r="C108" s="283" t="s">
        <v>315</v>
      </c>
      <c r="D108" s="284"/>
      <c r="E108" s="285"/>
      <c r="F108" s="286"/>
      <c r="G108" s="526"/>
      <c r="H108" s="534"/>
      <c r="I108" s="285"/>
    </row>
    <row r="109" spans="1:10">
      <c r="A109" s="243">
        <f t="shared" si="1"/>
        <v>134</v>
      </c>
      <c r="B109" s="288">
        <v>1</v>
      </c>
      <c r="C109" s="289" t="s">
        <v>316</v>
      </c>
      <c r="D109" s="290"/>
      <c r="E109" s="291"/>
      <c r="F109" s="292"/>
      <c r="G109" s="527" t="s">
        <v>317</v>
      </c>
      <c r="H109" s="535" t="s">
        <v>260</v>
      </c>
      <c r="I109" s="291"/>
      <c r="J109" s="306"/>
    </row>
    <row r="110" spans="1:10">
      <c r="A110" s="243">
        <f t="shared" si="1"/>
        <v>135</v>
      </c>
      <c r="B110" s="288">
        <v>1</v>
      </c>
      <c r="C110" s="289" t="s">
        <v>318</v>
      </c>
      <c r="D110" s="290"/>
      <c r="E110" s="291"/>
      <c r="F110" s="292"/>
      <c r="G110" s="527"/>
      <c r="H110" s="536"/>
      <c r="I110" s="291"/>
      <c r="J110" s="306"/>
    </row>
    <row r="111" spans="1:10">
      <c r="A111" s="243">
        <f t="shared" ref="A111:A138" si="2">A110+B110</f>
        <v>136</v>
      </c>
      <c r="B111" s="288">
        <v>1</v>
      </c>
      <c r="C111" s="289" t="s">
        <v>319</v>
      </c>
      <c r="D111" s="290"/>
      <c r="E111" s="291"/>
      <c r="F111" s="292"/>
      <c r="G111" s="527"/>
      <c r="H111" s="536"/>
      <c r="I111" s="291"/>
      <c r="J111" s="306"/>
    </row>
    <row r="112" spans="1:10">
      <c r="B112" s="294"/>
      <c r="C112" s="295" t="s">
        <v>975</v>
      </c>
      <c r="D112" s="290"/>
      <c r="E112" s="291"/>
      <c r="F112" s="292"/>
      <c r="G112" s="295" t="s">
        <v>975</v>
      </c>
      <c r="H112" s="296"/>
      <c r="I112" s="291"/>
      <c r="J112" s="306"/>
    </row>
    <row r="113" spans="1:10">
      <c r="A113" s="243">
        <f>A111+B111</f>
        <v>137</v>
      </c>
      <c r="B113" s="297">
        <v>1</v>
      </c>
      <c r="C113" s="298" t="s">
        <v>324</v>
      </c>
      <c r="D113" s="524" t="s">
        <v>178</v>
      </c>
      <c r="E113" s="291"/>
      <c r="F113" s="292"/>
      <c r="G113" s="528" t="s">
        <v>325</v>
      </c>
      <c r="H113" s="528" t="s">
        <v>267</v>
      </c>
      <c r="I113" s="291"/>
      <c r="J113" s="306"/>
    </row>
    <row r="114" spans="1:10" customFormat="1">
      <c r="A114" s="243">
        <f t="shared" si="2"/>
        <v>138</v>
      </c>
      <c r="B114" s="297">
        <v>1</v>
      </c>
      <c r="C114" s="298" t="s">
        <v>326</v>
      </c>
      <c r="D114" s="524"/>
      <c r="E114" s="110"/>
      <c r="F114" s="292"/>
      <c r="G114" s="528"/>
      <c r="H114" s="528"/>
      <c r="I114" s="110"/>
    </row>
    <row r="115" spans="1:10" customFormat="1">
      <c r="A115" s="243">
        <f t="shared" si="2"/>
        <v>139</v>
      </c>
      <c r="B115" s="297">
        <v>1</v>
      </c>
      <c r="C115" s="298" t="s">
        <v>327</v>
      </c>
      <c r="D115" s="524"/>
      <c r="E115" s="110"/>
      <c r="F115" s="292"/>
      <c r="G115" s="528"/>
      <c r="H115" s="528"/>
      <c r="I115" s="110"/>
    </row>
    <row r="116" spans="1:10" customFormat="1">
      <c r="A116" s="243">
        <f t="shared" si="2"/>
        <v>140</v>
      </c>
      <c r="B116" s="297">
        <v>1</v>
      </c>
      <c r="C116" s="298" t="s">
        <v>328</v>
      </c>
      <c r="D116" s="524"/>
      <c r="E116" s="110"/>
      <c r="F116" s="292"/>
      <c r="G116" s="528" t="s">
        <v>329</v>
      </c>
      <c r="H116" s="537" t="s">
        <v>267</v>
      </c>
      <c r="I116" s="110"/>
    </row>
    <row r="117" spans="1:10" customFormat="1">
      <c r="A117" s="243">
        <f t="shared" si="2"/>
        <v>141</v>
      </c>
      <c r="B117" s="297">
        <v>1</v>
      </c>
      <c r="C117" s="298" t="s">
        <v>330</v>
      </c>
      <c r="D117" s="524"/>
      <c r="E117" s="110"/>
      <c r="F117" s="292"/>
      <c r="G117" s="528"/>
      <c r="H117" s="538"/>
      <c r="I117" s="110"/>
    </row>
    <row r="118" spans="1:10" customFormat="1">
      <c r="A118" s="243">
        <f t="shared" si="2"/>
        <v>142</v>
      </c>
      <c r="B118" s="297">
        <v>1</v>
      </c>
      <c r="C118" s="298" t="s">
        <v>331</v>
      </c>
      <c r="D118" s="524"/>
      <c r="E118" s="110"/>
      <c r="F118" s="292"/>
      <c r="G118" s="528"/>
      <c r="H118" s="538"/>
      <c r="I118" s="110"/>
    </row>
    <row r="119" spans="1:10" customFormat="1">
      <c r="A119" s="243">
        <f t="shared" si="2"/>
        <v>143</v>
      </c>
      <c r="B119" s="297">
        <v>1</v>
      </c>
      <c r="C119" s="298" t="s">
        <v>332</v>
      </c>
      <c r="D119" s="524"/>
      <c r="E119" s="110"/>
      <c r="F119" s="292"/>
      <c r="G119" s="528" t="s">
        <v>333</v>
      </c>
      <c r="H119" s="537" t="s">
        <v>260</v>
      </c>
      <c r="I119" s="110"/>
    </row>
    <row r="120" spans="1:10" customFormat="1">
      <c r="A120" s="243">
        <f t="shared" si="2"/>
        <v>144</v>
      </c>
      <c r="B120" s="297">
        <v>1</v>
      </c>
      <c r="C120" s="298" t="s">
        <v>334</v>
      </c>
      <c r="D120" s="524"/>
      <c r="E120" s="110"/>
      <c r="F120" s="292"/>
      <c r="G120" s="528"/>
      <c r="H120" s="538"/>
      <c r="I120" s="110"/>
    </row>
    <row r="121" spans="1:10" customFormat="1">
      <c r="A121" s="243">
        <f t="shared" si="2"/>
        <v>145</v>
      </c>
      <c r="B121" s="297">
        <v>1</v>
      </c>
      <c r="C121" s="298" t="s">
        <v>335</v>
      </c>
      <c r="D121" s="524"/>
      <c r="E121" s="110"/>
      <c r="F121" s="292"/>
      <c r="G121" s="528"/>
      <c r="H121" s="538"/>
      <c r="I121" s="110"/>
    </row>
    <row r="122" spans="1:10" customFormat="1">
      <c r="A122" s="243">
        <f t="shared" si="2"/>
        <v>146</v>
      </c>
      <c r="B122" s="297">
        <v>1</v>
      </c>
      <c r="C122" s="298" t="s">
        <v>336</v>
      </c>
      <c r="D122" s="524"/>
      <c r="E122" s="110"/>
      <c r="F122" s="292"/>
      <c r="G122" s="299" t="s">
        <v>976</v>
      </c>
      <c r="H122" s="299" t="s">
        <v>976</v>
      </c>
      <c r="I122" s="110"/>
    </row>
    <row r="123" spans="1:10" s="241" customFormat="1">
      <c r="A123" s="243">
        <f t="shared" si="2"/>
        <v>147</v>
      </c>
      <c r="B123" s="300">
        <v>2</v>
      </c>
      <c r="C123" s="289" t="s">
        <v>977</v>
      </c>
      <c r="D123" s="290" t="s">
        <v>978</v>
      </c>
      <c r="E123" s="301"/>
      <c r="F123" s="302"/>
      <c r="G123" s="289" t="s">
        <v>977</v>
      </c>
      <c r="H123" s="303"/>
      <c r="I123" s="301"/>
      <c r="J123" s="307"/>
    </row>
    <row r="124" spans="1:10">
      <c r="A124" s="243">
        <f t="shared" si="2"/>
        <v>149</v>
      </c>
      <c r="B124" s="294">
        <v>1</v>
      </c>
      <c r="C124" s="289" t="s">
        <v>979</v>
      </c>
      <c r="D124" s="290"/>
      <c r="E124" s="291"/>
      <c r="F124" s="292"/>
      <c r="G124" s="289" t="s">
        <v>979</v>
      </c>
      <c r="H124" s="291"/>
      <c r="I124" s="291"/>
      <c r="J124" s="306"/>
    </row>
    <row r="125" spans="1:10" ht="72">
      <c r="A125" s="243">
        <f t="shared" si="2"/>
        <v>150</v>
      </c>
      <c r="B125" s="304">
        <v>1</v>
      </c>
      <c r="C125" s="289" t="s">
        <v>980</v>
      </c>
      <c r="D125" s="290"/>
      <c r="E125" s="291"/>
      <c r="F125" s="292"/>
      <c r="G125" s="289" t="s">
        <v>980</v>
      </c>
      <c r="H125" s="305" t="s">
        <v>981</v>
      </c>
      <c r="I125" s="291"/>
      <c r="J125" s="306"/>
    </row>
    <row r="126" spans="1:10" ht="57.6">
      <c r="A126" s="243">
        <f t="shared" si="2"/>
        <v>151</v>
      </c>
      <c r="B126" s="304">
        <v>1</v>
      </c>
      <c r="C126" s="289" t="s">
        <v>982</v>
      </c>
      <c r="D126" s="290"/>
      <c r="E126" s="291"/>
      <c r="F126" s="292"/>
      <c r="G126" s="289" t="s">
        <v>982</v>
      </c>
      <c r="H126" s="305" t="s">
        <v>983</v>
      </c>
      <c r="I126" s="291"/>
      <c r="J126" s="306"/>
    </row>
    <row r="127" spans="1:10" ht="57.6">
      <c r="A127" s="243">
        <f t="shared" si="2"/>
        <v>152</v>
      </c>
      <c r="B127" s="304">
        <v>1</v>
      </c>
      <c r="C127" s="289" t="s">
        <v>984</v>
      </c>
      <c r="D127" s="290"/>
      <c r="E127" s="291"/>
      <c r="F127" s="292"/>
      <c r="G127" s="289" t="s">
        <v>984</v>
      </c>
      <c r="H127" s="305" t="s">
        <v>983</v>
      </c>
      <c r="I127" s="291"/>
      <c r="J127" s="306"/>
    </row>
    <row r="128" spans="1:10" ht="72">
      <c r="A128" s="243">
        <f t="shared" si="2"/>
        <v>153</v>
      </c>
      <c r="B128" s="304">
        <v>1</v>
      </c>
      <c r="C128" s="289" t="s">
        <v>985</v>
      </c>
      <c r="D128" s="290"/>
      <c r="E128" s="291"/>
      <c r="F128" s="292"/>
      <c r="G128" s="289" t="s">
        <v>985</v>
      </c>
      <c r="H128" s="305" t="s">
        <v>981</v>
      </c>
      <c r="I128" s="291"/>
      <c r="J128" s="306"/>
    </row>
    <row r="129" spans="1:10" ht="72">
      <c r="A129" s="243">
        <f t="shared" si="2"/>
        <v>154</v>
      </c>
      <c r="B129" s="304">
        <v>1</v>
      </c>
      <c r="C129" s="289" t="s">
        <v>986</v>
      </c>
      <c r="D129" s="290"/>
      <c r="E129" s="291"/>
      <c r="F129" s="292"/>
      <c r="G129" s="289" t="s">
        <v>986</v>
      </c>
      <c r="H129" s="305" t="s">
        <v>981</v>
      </c>
      <c r="I129" s="291"/>
      <c r="J129" s="306"/>
    </row>
    <row r="130" spans="1:10" ht="28.8">
      <c r="A130" s="243">
        <f t="shared" si="2"/>
        <v>155</v>
      </c>
      <c r="B130" s="288">
        <v>1</v>
      </c>
      <c r="C130" s="289" t="s">
        <v>608</v>
      </c>
      <c r="D130" s="290"/>
      <c r="E130" s="291"/>
      <c r="F130" s="292"/>
      <c r="G130" s="293" t="s">
        <v>987</v>
      </c>
      <c r="H130" s="308" t="s">
        <v>988</v>
      </c>
      <c r="I130" s="291"/>
      <c r="J130" s="306"/>
    </row>
    <row r="131" spans="1:10" ht="28.8">
      <c r="A131" s="243">
        <f t="shared" si="2"/>
        <v>156</v>
      </c>
      <c r="B131" s="288">
        <v>1</v>
      </c>
      <c r="C131" s="289" t="s">
        <v>608</v>
      </c>
      <c r="D131" s="290"/>
      <c r="E131" s="291"/>
      <c r="F131" s="292"/>
      <c r="G131" s="293" t="s">
        <v>989</v>
      </c>
      <c r="H131" s="308" t="s">
        <v>988</v>
      </c>
      <c r="I131" s="291"/>
      <c r="J131" s="306"/>
    </row>
    <row r="132" spans="1:10" ht="22.8">
      <c r="A132" s="243">
        <f t="shared" si="2"/>
        <v>157</v>
      </c>
      <c r="B132" s="279">
        <v>2</v>
      </c>
      <c r="C132" s="309" t="s">
        <v>608</v>
      </c>
      <c r="D132" s="310"/>
      <c r="E132" s="311"/>
      <c r="F132" s="312"/>
      <c r="G132" s="313" t="s">
        <v>360</v>
      </c>
      <c r="H132" s="314" t="s">
        <v>358</v>
      </c>
      <c r="I132" s="311"/>
    </row>
    <row r="133" spans="1:10" ht="22.8">
      <c r="A133" s="243">
        <f t="shared" si="2"/>
        <v>159</v>
      </c>
      <c r="B133" s="279">
        <v>2</v>
      </c>
      <c r="C133" s="256" t="s">
        <v>608</v>
      </c>
      <c r="G133" s="287" t="s">
        <v>361</v>
      </c>
      <c r="H133" s="314" t="s">
        <v>358</v>
      </c>
    </row>
    <row r="134" spans="1:10" ht="43.2">
      <c r="A134" s="243">
        <f t="shared" si="2"/>
        <v>161</v>
      </c>
      <c r="B134" s="243">
        <v>1</v>
      </c>
      <c r="C134" s="256" t="s">
        <v>608</v>
      </c>
      <c r="G134" s="315" t="s">
        <v>990</v>
      </c>
      <c r="H134" s="316" t="s">
        <v>991</v>
      </c>
    </row>
    <row r="135" spans="1:10">
      <c r="A135" s="243">
        <f t="shared" si="2"/>
        <v>162</v>
      </c>
      <c r="B135" s="243">
        <v>2</v>
      </c>
      <c r="C135" s="256" t="s">
        <v>608</v>
      </c>
      <c r="G135" s="315" t="s">
        <v>346</v>
      </c>
      <c r="H135" s="315" t="s">
        <v>346</v>
      </c>
    </row>
    <row r="136" spans="1:10" ht="28.8">
      <c r="A136" s="243">
        <f t="shared" si="2"/>
        <v>164</v>
      </c>
      <c r="B136" s="243">
        <v>4</v>
      </c>
      <c r="C136" s="243" t="s">
        <v>129</v>
      </c>
      <c r="G136" s="243" t="s">
        <v>129</v>
      </c>
      <c r="H136" s="245" t="s">
        <v>130</v>
      </c>
    </row>
    <row r="137" spans="1:10">
      <c r="A137" s="243">
        <f t="shared" si="2"/>
        <v>168</v>
      </c>
      <c r="B137" s="243">
        <v>1</v>
      </c>
      <c r="C137" s="243" t="s">
        <v>131</v>
      </c>
      <c r="G137" s="243" t="s">
        <v>131</v>
      </c>
      <c r="H137" s="245" t="s">
        <v>132</v>
      </c>
    </row>
    <row r="138" spans="1:10">
      <c r="A138" s="243">
        <f t="shared" si="2"/>
        <v>169</v>
      </c>
      <c r="B138" s="240" t="s">
        <v>486</v>
      </c>
      <c r="G138" s="244"/>
    </row>
    <row r="139" spans="1:10">
      <c r="G139" s="244"/>
    </row>
    <row r="140" spans="1:10">
      <c r="G140" s="244"/>
    </row>
    <row r="141" spans="1:10">
      <c r="G141" s="244"/>
    </row>
    <row r="142" spans="1:10">
      <c r="G142" s="244"/>
    </row>
    <row r="143" spans="1:10">
      <c r="G143" s="244"/>
    </row>
    <row r="144" spans="1:10">
      <c r="G144" s="244"/>
    </row>
    <row r="145" spans="7:7">
      <c r="G145" s="244"/>
    </row>
    <row r="146" spans="7:7">
      <c r="G146" s="244"/>
    </row>
  </sheetData>
  <mergeCells count="39">
    <mergeCell ref="H106:H108"/>
    <mergeCell ref="H109:H111"/>
    <mergeCell ref="H113:H115"/>
    <mergeCell ref="H116:H118"/>
    <mergeCell ref="H119:H121"/>
    <mergeCell ref="H74:H75"/>
    <mergeCell ref="H83:H93"/>
    <mergeCell ref="H95:H96"/>
    <mergeCell ref="H99:H102"/>
    <mergeCell ref="H103:H105"/>
    <mergeCell ref="H50:H52"/>
    <mergeCell ref="H57:H58"/>
    <mergeCell ref="H59:H60"/>
    <mergeCell ref="H61:H62"/>
    <mergeCell ref="H69:H72"/>
    <mergeCell ref="D99:D107"/>
    <mergeCell ref="D113:D122"/>
    <mergeCell ref="G103:G105"/>
    <mergeCell ref="G106:G108"/>
    <mergeCell ref="G109:G111"/>
    <mergeCell ref="G113:G115"/>
    <mergeCell ref="G116:G118"/>
    <mergeCell ref="G119:G121"/>
    <mergeCell ref="D61:D62"/>
    <mergeCell ref="D69:D72"/>
    <mergeCell ref="D74:D75"/>
    <mergeCell ref="D83:D93"/>
    <mergeCell ref="D95:D96"/>
    <mergeCell ref="A39:E39"/>
    <mergeCell ref="D19:D20"/>
    <mergeCell ref="D50:D52"/>
    <mergeCell ref="D57:D58"/>
    <mergeCell ref="D59:D60"/>
    <mergeCell ref="A2:E2"/>
    <mergeCell ref="A4:E4"/>
    <mergeCell ref="G4:K4"/>
    <mergeCell ref="A37:E37"/>
    <mergeCell ref="G37:K37"/>
    <mergeCell ref="H19:H20"/>
  </mergeCells>
  <pageMargins left="0.75" right="0.75" top="1" bottom="1" header="0.51111111111111096" footer="0.51111111111111096"/>
  <pageSetup orientation="portrait" horizontalDpi="300" verticalDpi="300"/>
  <headerFooter scaleWithDoc="0"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70"/>
  <sheetViews>
    <sheetView topLeftCell="A32" zoomScale="115" zoomScaleNormal="115" workbookViewId="0">
      <selection activeCell="E37" sqref="E37"/>
    </sheetView>
  </sheetViews>
  <sheetFormatPr defaultColWidth="9.109375" defaultRowHeight="13.2"/>
  <cols>
    <col min="1" max="1" width="24.88671875" style="144" customWidth="1"/>
    <col min="2" max="2" width="17.6640625" style="144" customWidth="1"/>
    <col min="3" max="3" width="26" style="216" customWidth="1"/>
    <col min="4" max="4" width="34.21875" style="227"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2" spans="1:5" s="160" customFormat="1">
      <c r="A2" s="539" t="s">
        <v>992</v>
      </c>
      <c r="B2" s="539"/>
      <c r="C2" s="539"/>
      <c r="D2" s="539"/>
      <c r="E2" s="539"/>
    </row>
    <row r="3" spans="1:5" s="160" customFormat="1">
      <c r="A3" s="157"/>
      <c r="B3" s="157"/>
      <c r="C3" s="228"/>
      <c r="D3" s="229"/>
    </row>
    <row r="4" spans="1:5" s="210" customFormat="1">
      <c r="A4" s="539" t="s">
        <v>993</v>
      </c>
      <c r="B4" s="539"/>
      <c r="C4" s="539"/>
      <c r="D4" s="539"/>
      <c r="E4" s="539"/>
    </row>
    <row r="5" spans="1:5" s="160" customFormat="1">
      <c r="A5" s="210"/>
      <c r="B5" s="210"/>
      <c r="C5" s="228"/>
      <c r="D5" s="230"/>
    </row>
    <row r="6" spans="1:5" s="157" customFormat="1" ht="18" customHeight="1">
      <c r="A6" s="231" t="s">
        <v>110</v>
      </c>
      <c r="B6" s="231" t="s">
        <v>111</v>
      </c>
      <c r="C6" s="232" t="s">
        <v>112</v>
      </c>
      <c r="D6" s="229" t="s">
        <v>113</v>
      </c>
      <c r="E6" s="157" t="s">
        <v>916</v>
      </c>
    </row>
    <row r="7" spans="1:5">
      <c r="A7" s="144">
        <v>0</v>
      </c>
      <c r="B7" s="144">
        <v>1</v>
      </c>
      <c r="C7" s="216" t="s">
        <v>114</v>
      </c>
      <c r="D7" s="227" t="s">
        <v>115</v>
      </c>
    </row>
    <row r="8" spans="1:5">
      <c r="A8" s="144">
        <f t="shared" ref="A8:A24" si="0">A7+B7</f>
        <v>1</v>
      </c>
      <c r="B8" s="144">
        <v>1</v>
      </c>
      <c r="C8" s="216" t="s">
        <v>770</v>
      </c>
      <c r="D8" s="227" t="s">
        <v>917</v>
      </c>
    </row>
    <row r="9" spans="1:5">
      <c r="A9" s="144">
        <f t="shared" si="0"/>
        <v>2</v>
      </c>
      <c r="B9" s="144">
        <v>1</v>
      </c>
      <c r="C9" s="216" t="s">
        <v>138</v>
      </c>
      <c r="D9" s="227" t="s">
        <v>994</v>
      </c>
    </row>
    <row r="10" spans="1:5" ht="39.6">
      <c r="A10" s="144">
        <f t="shared" si="0"/>
        <v>3</v>
      </c>
      <c r="B10" s="144">
        <v>2</v>
      </c>
      <c r="C10" s="10" t="s">
        <v>120</v>
      </c>
      <c r="D10" s="10" t="str">
        <f>DEC2HEX(A24-5)</f>
        <v>1B</v>
      </c>
      <c r="E10" s="227" t="s">
        <v>919</v>
      </c>
    </row>
    <row r="11" spans="1:5" s="197" customFormat="1">
      <c r="A11" s="144">
        <f t="shared" si="0"/>
        <v>5</v>
      </c>
      <c r="B11" s="200">
        <v>2</v>
      </c>
      <c r="C11" s="200" t="s">
        <v>995</v>
      </c>
      <c r="D11" s="219" t="s">
        <v>996</v>
      </c>
    </row>
    <row r="12" spans="1:5" s="197" customFormat="1" ht="39.6">
      <c r="A12" s="144">
        <f t="shared" si="0"/>
        <v>7</v>
      </c>
      <c r="B12" s="144" t="s">
        <v>163</v>
      </c>
      <c r="C12" s="144" t="s">
        <v>168</v>
      </c>
      <c r="D12" s="233" t="s">
        <v>923</v>
      </c>
    </row>
    <row r="13" spans="1:5" s="197" customFormat="1" ht="26.4">
      <c r="A13" s="144">
        <f t="shared" si="0"/>
        <v>8</v>
      </c>
      <c r="B13" s="10">
        <v>1</v>
      </c>
      <c r="C13" s="10" t="s">
        <v>143</v>
      </c>
      <c r="D13" s="219" t="s">
        <v>997</v>
      </c>
    </row>
    <row r="14" spans="1:5" s="197" customFormat="1" ht="118.8">
      <c r="A14" s="144">
        <f t="shared" si="0"/>
        <v>9</v>
      </c>
      <c r="B14" s="10" t="s">
        <v>998</v>
      </c>
      <c r="C14" s="10" t="s">
        <v>398</v>
      </c>
      <c r="D14" s="199" t="s">
        <v>745</v>
      </c>
    </row>
    <row r="15" spans="1:5" s="197" customFormat="1" ht="79.2">
      <c r="A15" s="144">
        <f t="shared" si="0"/>
        <v>14</v>
      </c>
      <c r="B15" s="10">
        <v>1</v>
      </c>
      <c r="C15" s="12" t="s">
        <v>389</v>
      </c>
      <c r="D15" s="219" t="s">
        <v>739</v>
      </c>
    </row>
    <row r="16" spans="1:5" s="197" customFormat="1" ht="39.6">
      <c r="A16" s="144">
        <f t="shared" si="0"/>
        <v>15</v>
      </c>
      <c r="B16" s="200">
        <v>2</v>
      </c>
      <c r="C16" s="200" t="s">
        <v>999</v>
      </c>
      <c r="D16" s="219" t="s">
        <v>1000</v>
      </c>
    </row>
    <row r="17" spans="1:5" s="197" customFormat="1" ht="52.8">
      <c r="A17" s="144">
        <f t="shared" si="0"/>
        <v>17</v>
      </c>
      <c r="B17" s="200">
        <v>2</v>
      </c>
      <c r="C17" s="200" t="s">
        <v>1001</v>
      </c>
      <c r="D17" s="219" t="s">
        <v>1002</v>
      </c>
    </row>
    <row r="18" spans="1:5" s="197" customFormat="1" ht="26.4">
      <c r="A18" s="144">
        <f t="shared" si="0"/>
        <v>19</v>
      </c>
      <c r="B18" s="200">
        <v>1</v>
      </c>
      <c r="C18" s="200" t="s">
        <v>1003</v>
      </c>
      <c r="D18" s="219" t="s">
        <v>1004</v>
      </c>
    </row>
    <row r="19" spans="1:5" s="197" customFormat="1" ht="26.4">
      <c r="A19" s="144">
        <f t="shared" si="0"/>
        <v>20</v>
      </c>
      <c r="B19" s="200">
        <v>2</v>
      </c>
      <c r="C19" s="10" t="s">
        <v>121</v>
      </c>
      <c r="D19" s="234" t="s">
        <v>122</v>
      </c>
    </row>
    <row r="20" spans="1:5" s="197" customFormat="1">
      <c r="A20" s="144">
        <f t="shared" si="0"/>
        <v>22</v>
      </c>
      <c r="B20" s="200">
        <v>3</v>
      </c>
      <c r="C20" s="200" t="s">
        <v>608</v>
      </c>
      <c r="D20" s="219" t="s">
        <v>1005</v>
      </c>
    </row>
    <row r="21" spans="1:5" ht="26.4">
      <c r="A21" s="144">
        <f t="shared" si="0"/>
        <v>25</v>
      </c>
      <c r="B21" s="144">
        <v>2</v>
      </c>
      <c r="C21" s="144" t="s">
        <v>127</v>
      </c>
      <c r="D21" s="227" t="s">
        <v>128</v>
      </c>
    </row>
    <row r="22" spans="1:5" ht="39.6">
      <c r="A22" s="144">
        <f t="shared" si="0"/>
        <v>27</v>
      </c>
      <c r="B22" s="144">
        <v>4</v>
      </c>
      <c r="C22" s="144" t="s">
        <v>129</v>
      </c>
      <c r="D22" s="227" t="s">
        <v>130</v>
      </c>
    </row>
    <row r="23" spans="1:5">
      <c r="A23" s="144">
        <f t="shared" si="0"/>
        <v>31</v>
      </c>
      <c r="B23" s="144">
        <v>1</v>
      </c>
      <c r="C23" s="144" t="s">
        <v>131</v>
      </c>
      <c r="D23" s="227" t="s">
        <v>132</v>
      </c>
    </row>
    <row r="24" spans="1:5">
      <c r="A24" s="144">
        <f t="shared" si="0"/>
        <v>32</v>
      </c>
      <c r="B24" s="157" t="s">
        <v>486</v>
      </c>
    </row>
    <row r="27" spans="1:5" s="160" customFormat="1">
      <c r="A27" s="539" t="s">
        <v>1006</v>
      </c>
      <c r="B27" s="539"/>
      <c r="C27" s="539"/>
      <c r="D27" s="539"/>
      <c r="E27" s="539"/>
    </row>
    <row r="28" spans="1:5" s="160" customFormat="1">
      <c r="A28" s="157"/>
      <c r="B28" s="157"/>
      <c r="C28" s="230"/>
      <c r="D28" s="235"/>
    </row>
    <row r="29" spans="1:5" s="160" customFormat="1">
      <c r="A29" s="539" t="s">
        <v>1007</v>
      </c>
      <c r="B29" s="539"/>
      <c r="C29" s="539"/>
      <c r="D29" s="539"/>
      <c r="E29" s="539"/>
    </row>
    <row r="30" spans="1:5" s="160" customFormat="1">
      <c r="A30" s="210"/>
      <c r="B30" s="157"/>
      <c r="C30" s="230"/>
      <c r="D30" s="236"/>
    </row>
    <row r="31" spans="1:5" s="160" customFormat="1">
      <c r="A31" s="231" t="s">
        <v>110</v>
      </c>
      <c r="B31" s="231" t="s">
        <v>111</v>
      </c>
      <c r="C31" s="232" t="s">
        <v>112</v>
      </c>
      <c r="D31" s="235" t="s">
        <v>113</v>
      </c>
      <c r="E31" s="157"/>
    </row>
    <row r="32" spans="1:5">
      <c r="A32" s="144">
        <v>0</v>
      </c>
      <c r="B32" s="144">
        <v>1</v>
      </c>
      <c r="C32" s="198" t="s">
        <v>114</v>
      </c>
      <c r="D32" s="234" t="s">
        <v>115</v>
      </c>
    </row>
    <row r="33" spans="1:5">
      <c r="A33" s="144">
        <f t="shared" ref="A33:A70" si="1">A32+B32</f>
        <v>1</v>
      </c>
      <c r="B33" s="144">
        <v>1</v>
      </c>
      <c r="C33" s="198" t="s">
        <v>645</v>
      </c>
      <c r="D33" s="234" t="s">
        <v>1008</v>
      </c>
    </row>
    <row r="34" spans="1:5">
      <c r="A34" s="144">
        <f t="shared" si="1"/>
        <v>2</v>
      </c>
      <c r="B34" s="144">
        <v>1</v>
      </c>
      <c r="C34" s="198" t="s">
        <v>138</v>
      </c>
      <c r="D34" s="234" t="s">
        <v>994</v>
      </c>
    </row>
    <row r="35" spans="1:5" ht="39.6">
      <c r="A35" s="144">
        <f t="shared" si="1"/>
        <v>3</v>
      </c>
      <c r="B35" s="144">
        <v>2</v>
      </c>
      <c r="C35" s="10" t="s">
        <v>120</v>
      </c>
      <c r="D35" s="234" t="str">
        <f>DEC2HEX(A70-5)</f>
        <v>42</v>
      </c>
      <c r="E35" s="227"/>
    </row>
    <row r="36" spans="1:5">
      <c r="A36" s="144">
        <f t="shared" si="1"/>
        <v>5</v>
      </c>
      <c r="B36" s="200">
        <v>2</v>
      </c>
      <c r="C36" s="200" t="s">
        <v>995</v>
      </c>
      <c r="D36" s="201" t="s">
        <v>1009</v>
      </c>
      <c r="E36" s="197"/>
    </row>
    <row r="37" spans="1:5" ht="132">
      <c r="A37" s="144">
        <f t="shared" si="1"/>
        <v>7</v>
      </c>
      <c r="B37" s="200">
        <v>1</v>
      </c>
      <c r="C37" s="217" t="s">
        <v>820</v>
      </c>
      <c r="D37" s="199" t="s">
        <v>385</v>
      </c>
      <c r="E37" s="197"/>
    </row>
    <row r="38" spans="1:5" s="197" customFormat="1" ht="39.6">
      <c r="A38" s="144">
        <f t="shared" si="1"/>
        <v>8</v>
      </c>
      <c r="B38" s="144" t="s">
        <v>163</v>
      </c>
      <c r="C38" s="144" t="s">
        <v>1010</v>
      </c>
      <c r="D38" s="233" t="s">
        <v>923</v>
      </c>
    </row>
    <row r="39" spans="1:5" ht="26.4">
      <c r="A39" s="144">
        <f t="shared" si="1"/>
        <v>9</v>
      </c>
      <c r="B39" s="10" t="s">
        <v>163</v>
      </c>
      <c r="C39" s="10" t="s">
        <v>369</v>
      </c>
      <c r="D39" s="234" t="s">
        <v>966</v>
      </c>
    </row>
    <row r="40" spans="1:5" ht="277.2">
      <c r="A40" s="10">
        <f t="shared" si="1"/>
        <v>10</v>
      </c>
      <c r="B40" s="10" t="s">
        <v>163</v>
      </c>
      <c r="C40" s="10" t="s">
        <v>380</v>
      </c>
      <c r="D40" s="218" t="s">
        <v>1011</v>
      </c>
    </row>
    <row r="41" spans="1:5" ht="26.4">
      <c r="A41" s="10">
        <f t="shared" si="1"/>
        <v>11</v>
      </c>
      <c r="B41" s="10" t="s">
        <v>145</v>
      </c>
      <c r="C41" s="10" t="s">
        <v>370</v>
      </c>
      <c r="D41" s="234" t="s">
        <v>1012</v>
      </c>
    </row>
    <row r="42" spans="1:5" ht="105.6">
      <c r="A42" s="144">
        <f t="shared" si="1"/>
        <v>13</v>
      </c>
      <c r="B42" s="10" t="s">
        <v>148</v>
      </c>
      <c r="C42" s="10" t="s">
        <v>375</v>
      </c>
      <c r="D42" s="234" t="s">
        <v>1013</v>
      </c>
    </row>
    <row r="43" spans="1:5" ht="118.8">
      <c r="A43" s="144">
        <f t="shared" si="1"/>
        <v>16</v>
      </c>
      <c r="B43" s="10" t="s">
        <v>151</v>
      </c>
      <c r="C43" s="10" t="s">
        <v>377</v>
      </c>
      <c r="D43" s="237" t="s">
        <v>964</v>
      </c>
    </row>
    <row r="44" spans="1:5" ht="118.8">
      <c r="A44" s="144">
        <f t="shared" si="1"/>
        <v>20</v>
      </c>
      <c r="B44" s="10" t="s">
        <v>151</v>
      </c>
      <c r="C44" s="10" t="s">
        <v>379</v>
      </c>
      <c r="D44" s="237" t="s">
        <v>963</v>
      </c>
    </row>
    <row r="45" spans="1:5" ht="12.75" customHeight="1">
      <c r="A45" s="144">
        <f t="shared" si="1"/>
        <v>24</v>
      </c>
      <c r="B45" s="10" t="s">
        <v>151</v>
      </c>
      <c r="C45" s="10" t="s">
        <v>387</v>
      </c>
      <c r="D45" s="540" t="s">
        <v>963</v>
      </c>
    </row>
    <row r="46" spans="1:5">
      <c r="A46" s="144">
        <f t="shared" si="1"/>
        <v>28</v>
      </c>
      <c r="B46" s="10" t="s">
        <v>151</v>
      </c>
      <c r="C46" s="10" t="s">
        <v>386</v>
      </c>
      <c r="D46" s="540"/>
    </row>
    <row r="47" spans="1:5" ht="26.4">
      <c r="A47" s="144">
        <f t="shared" si="1"/>
        <v>32</v>
      </c>
      <c r="B47" s="144" t="s">
        <v>145</v>
      </c>
      <c r="C47" s="10" t="s">
        <v>373</v>
      </c>
      <c r="D47" s="234" t="s">
        <v>1014</v>
      </c>
    </row>
    <row r="48" spans="1:5" ht="132">
      <c r="A48" s="144">
        <f t="shared" si="1"/>
        <v>34</v>
      </c>
      <c r="B48" s="10">
        <v>4</v>
      </c>
      <c r="C48" s="144" t="s">
        <v>400</v>
      </c>
      <c r="D48" s="234" t="s">
        <v>1015</v>
      </c>
    </row>
    <row r="49" spans="1:5" ht="26.4">
      <c r="A49" s="144">
        <f t="shared" si="1"/>
        <v>38</v>
      </c>
      <c r="B49" s="144" t="s">
        <v>145</v>
      </c>
      <c r="C49" s="10" t="s">
        <v>392</v>
      </c>
      <c r="D49" s="234" t="s">
        <v>733</v>
      </c>
    </row>
    <row r="50" spans="1:5" ht="12.75" customHeight="1">
      <c r="A50" s="144">
        <f t="shared" si="1"/>
        <v>40</v>
      </c>
      <c r="B50" s="144" t="s">
        <v>163</v>
      </c>
      <c r="C50" s="10" t="s">
        <v>391</v>
      </c>
      <c r="D50" s="541" t="s">
        <v>739</v>
      </c>
    </row>
    <row r="51" spans="1:5" ht="58.5" customHeight="1">
      <c r="A51" s="144">
        <f t="shared" si="1"/>
        <v>41</v>
      </c>
      <c r="B51" s="144" t="s">
        <v>163</v>
      </c>
      <c r="C51" s="10" t="s">
        <v>402</v>
      </c>
      <c r="D51" s="541"/>
    </row>
    <row r="52" spans="1:5" ht="26.4">
      <c r="A52" s="144">
        <f t="shared" si="1"/>
        <v>42</v>
      </c>
      <c r="B52" s="144" t="s">
        <v>163</v>
      </c>
      <c r="C52" s="144" t="s">
        <v>395</v>
      </c>
      <c r="D52" s="234" t="s">
        <v>1016</v>
      </c>
    </row>
    <row r="53" spans="1:5" ht="26.4">
      <c r="A53" s="144">
        <f t="shared" si="1"/>
        <v>43</v>
      </c>
      <c r="B53" s="144" t="s">
        <v>163</v>
      </c>
      <c r="C53" s="144" t="s">
        <v>394</v>
      </c>
      <c r="D53" s="234" t="s">
        <v>966</v>
      </c>
    </row>
    <row r="54" spans="1:5" ht="26.4">
      <c r="A54" s="144">
        <f t="shared" si="1"/>
        <v>44</v>
      </c>
      <c r="B54" s="200">
        <v>1</v>
      </c>
      <c r="C54" s="200" t="s">
        <v>404</v>
      </c>
      <c r="D54" s="234" t="s">
        <v>966</v>
      </c>
      <c r="E54" s="197"/>
    </row>
    <row r="55" spans="1:5" ht="26.4">
      <c r="A55" s="144">
        <f t="shared" si="1"/>
        <v>45</v>
      </c>
      <c r="B55" s="200">
        <v>1</v>
      </c>
      <c r="C55" s="200" t="s">
        <v>405</v>
      </c>
      <c r="D55" s="234" t="s">
        <v>966</v>
      </c>
      <c r="E55" s="197"/>
    </row>
    <row r="56" spans="1:5" ht="26.4">
      <c r="A56" s="144">
        <f t="shared" si="1"/>
        <v>46</v>
      </c>
      <c r="B56" s="200">
        <v>2</v>
      </c>
      <c r="C56" s="200" t="s">
        <v>406</v>
      </c>
      <c r="D56" s="234" t="s">
        <v>1017</v>
      </c>
      <c r="E56" s="197"/>
    </row>
    <row r="57" spans="1:5" s="197" customFormat="1" ht="26.4">
      <c r="A57" s="10">
        <f t="shared" si="1"/>
        <v>48</v>
      </c>
      <c r="B57" s="200">
        <v>1</v>
      </c>
      <c r="C57" s="200" t="s">
        <v>407</v>
      </c>
      <c r="D57" s="221" t="s">
        <v>753</v>
      </c>
    </row>
    <row r="58" spans="1:5" s="197" customFormat="1" ht="26.4">
      <c r="A58" s="10">
        <f t="shared" si="1"/>
        <v>49</v>
      </c>
      <c r="B58" s="200">
        <v>1</v>
      </c>
      <c r="C58" s="200" t="s">
        <v>409</v>
      </c>
      <c r="D58" s="221" t="s">
        <v>753</v>
      </c>
    </row>
    <row r="59" spans="1:5" s="197" customFormat="1" ht="26.4">
      <c r="A59" s="10">
        <f t="shared" si="1"/>
        <v>50</v>
      </c>
      <c r="B59" s="200">
        <v>1</v>
      </c>
      <c r="C59" s="200" t="s">
        <v>410</v>
      </c>
      <c r="D59" s="221" t="s">
        <v>753</v>
      </c>
    </row>
    <row r="60" spans="1:5" s="197" customFormat="1" ht="26.4">
      <c r="A60" s="10">
        <f t="shared" si="1"/>
        <v>51</v>
      </c>
      <c r="B60" s="200">
        <v>1</v>
      </c>
      <c r="C60" s="200" t="s">
        <v>411</v>
      </c>
      <c r="D60" s="221" t="s">
        <v>753</v>
      </c>
    </row>
    <row r="61" spans="1:5" s="197" customFormat="1" ht="26.4">
      <c r="A61" s="10">
        <f t="shared" si="1"/>
        <v>52</v>
      </c>
      <c r="B61" s="200">
        <v>4</v>
      </c>
      <c r="C61" s="200" t="s">
        <v>412</v>
      </c>
      <c r="D61" s="219" t="s">
        <v>758</v>
      </c>
    </row>
    <row r="62" spans="1:5" s="197" customFormat="1" ht="26.4">
      <c r="A62" s="10">
        <f t="shared" si="1"/>
        <v>56</v>
      </c>
      <c r="B62" s="200">
        <v>4</v>
      </c>
      <c r="C62" s="200" t="s">
        <v>414</v>
      </c>
      <c r="D62" s="219" t="s">
        <v>758</v>
      </c>
    </row>
    <row r="63" spans="1:5" s="197" customFormat="1" ht="26.4">
      <c r="A63" s="10">
        <f t="shared" si="1"/>
        <v>60</v>
      </c>
      <c r="B63" s="200">
        <v>1</v>
      </c>
      <c r="C63" s="200" t="s">
        <v>415</v>
      </c>
      <c r="D63" s="219" t="s">
        <v>742</v>
      </c>
    </row>
    <row r="64" spans="1:5" s="197" customFormat="1">
      <c r="A64" s="10">
        <f t="shared" si="1"/>
        <v>61</v>
      </c>
      <c r="B64" s="200">
        <v>1</v>
      </c>
      <c r="C64" s="200" t="s">
        <v>1018</v>
      </c>
      <c r="D64" s="219"/>
    </row>
    <row r="65" spans="1:4" s="197" customFormat="1">
      <c r="A65" s="10">
        <f t="shared" si="1"/>
        <v>62</v>
      </c>
      <c r="B65" s="200">
        <v>1</v>
      </c>
      <c r="C65" s="200" t="s">
        <v>1019</v>
      </c>
      <c r="D65" s="219"/>
    </row>
    <row r="66" spans="1:4" s="197" customFormat="1" ht="39.6">
      <c r="A66" s="10">
        <f t="shared" si="1"/>
        <v>63</v>
      </c>
      <c r="B66" s="200">
        <v>1</v>
      </c>
      <c r="C66" s="200" t="s">
        <v>1020</v>
      </c>
      <c r="D66" s="219" t="s">
        <v>1021</v>
      </c>
    </row>
    <row r="67" spans="1:4" ht="26.4">
      <c r="A67" s="10">
        <f t="shared" si="1"/>
        <v>64</v>
      </c>
      <c r="B67" s="144">
        <v>2</v>
      </c>
      <c r="C67" s="144" t="s">
        <v>127</v>
      </c>
      <c r="D67" s="234" t="s">
        <v>128</v>
      </c>
    </row>
    <row r="68" spans="1:4" ht="39.6">
      <c r="A68" s="10">
        <f t="shared" si="1"/>
        <v>66</v>
      </c>
      <c r="B68" s="144">
        <v>4</v>
      </c>
      <c r="C68" s="144" t="s">
        <v>129</v>
      </c>
      <c r="D68" s="234" t="s">
        <v>1022</v>
      </c>
    </row>
    <row r="69" spans="1:4">
      <c r="A69" s="10">
        <f t="shared" si="1"/>
        <v>70</v>
      </c>
      <c r="B69" s="144">
        <v>1</v>
      </c>
      <c r="C69" s="144" t="s">
        <v>131</v>
      </c>
      <c r="D69" s="234" t="s">
        <v>132</v>
      </c>
    </row>
    <row r="70" spans="1:4">
      <c r="A70" s="10">
        <f t="shared" si="1"/>
        <v>71</v>
      </c>
      <c r="B70" s="157" t="s">
        <v>486</v>
      </c>
      <c r="C70" s="198"/>
      <c r="D70" s="234"/>
    </row>
  </sheetData>
  <mergeCells count="6">
    <mergeCell ref="D50:D51"/>
    <mergeCell ref="A2:E2"/>
    <mergeCell ref="A4:E4"/>
    <mergeCell ref="A27:E27"/>
    <mergeCell ref="A29:E29"/>
    <mergeCell ref="D45:D46"/>
  </mergeCells>
  <pageMargins left="0.75" right="0.75" top="1" bottom="1" header="0.51111111111111096" footer="0.51111111111111096"/>
  <pageSetup orientation="portrait" horizontalDpi="300" verticalDpi="300"/>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0"/>
  <sheetViews>
    <sheetView zoomScale="115" zoomScaleNormal="115" workbookViewId="0">
      <selection activeCell="D54" sqref="D54"/>
    </sheetView>
  </sheetViews>
  <sheetFormatPr defaultColWidth="9.109375" defaultRowHeight="13.2"/>
  <cols>
    <col min="1" max="1" width="24.44140625" style="144" customWidth="1"/>
    <col min="2" max="2" width="17.6640625" style="144" customWidth="1"/>
    <col min="3" max="3" width="26" style="216" customWidth="1"/>
    <col min="4" max="4" width="48.88671875" style="156"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73</v>
      </c>
      <c r="B2" s="505"/>
      <c r="C2" s="505"/>
      <c r="D2" s="505"/>
      <c r="E2" s="505"/>
    </row>
    <row r="4" spans="1:5" s="196" customFormat="1" ht="15">
      <c r="A4" s="505" t="s">
        <v>1023</v>
      </c>
      <c r="B4" s="505"/>
      <c r="C4" s="505"/>
      <c r="D4" s="505"/>
      <c r="E4" s="505"/>
    </row>
    <row r="5" spans="1:5" ht="15">
      <c r="A5" s="151"/>
      <c r="B5" s="151"/>
      <c r="D5" s="167"/>
    </row>
    <row r="6" spans="1:5" ht="15" customHeight="1">
      <c r="A6" s="510" t="s">
        <v>524</v>
      </c>
      <c r="B6" s="510"/>
      <c r="C6" s="510"/>
      <c r="D6" s="510"/>
      <c r="E6" s="510"/>
    </row>
    <row r="7" spans="1:5" ht="15" customHeight="1">
      <c r="A7" s="510"/>
      <c r="B7" s="510"/>
      <c r="C7" s="510"/>
      <c r="D7" s="510"/>
      <c r="E7" s="510"/>
    </row>
    <row r="8" spans="1:5" ht="15" customHeight="1">
      <c r="A8" s="510"/>
      <c r="B8" s="510"/>
      <c r="C8" s="510"/>
      <c r="D8" s="510"/>
      <c r="E8" s="510"/>
    </row>
    <row r="9" spans="1:5" ht="15" customHeight="1">
      <c r="A9" s="510"/>
      <c r="B9" s="510"/>
      <c r="C9" s="510"/>
      <c r="D9" s="510"/>
      <c r="E9" s="510"/>
    </row>
    <row r="10" spans="1:5" ht="60.75" customHeight="1">
      <c r="A10" s="510"/>
      <c r="B10" s="510"/>
      <c r="C10" s="510"/>
      <c r="D10" s="510"/>
      <c r="E10" s="510"/>
    </row>
    <row r="11" spans="1:5">
      <c r="A11" s="223"/>
      <c r="B11" s="223"/>
      <c r="C11" s="223"/>
      <c r="D11" s="223"/>
      <c r="E11" s="223"/>
    </row>
    <row r="13" spans="1:5" s="155" customFormat="1" ht="18" customHeight="1">
      <c r="A13" s="152" t="s">
        <v>110</v>
      </c>
      <c r="B13" s="152" t="s">
        <v>111</v>
      </c>
      <c r="C13" s="153" t="s">
        <v>112</v>
      </c>
      <c r="D13" s="154" t="s">
        <v>113</v>
      </c>
    </row>
    <row r="14" spans="1:5">
      <c r="A14" s="144">
        <v>0</v>
      </c>
      <c r="B14" s="144">
        <v>1</v>
      </c>
      <c r="C14" s="216" t="s">
        <v>114</v>
      </c>
      <c r="D14" s="156" t="s">
        <v>115</v>
      </c>
    </row>
    <row r="15" spans="1:5">
      <c r="A15" s="144">
        <f t="shared" ref="A15:A70" si="0">A14+B14</f>
        <v>1</v>
      </c>
      <c r="B15" s="144">
        <v>1</v>
      </c>
      <c r="C15" s="216" t="s">
        <v>770</v>
      </c>
      <c r="D15" s="156" t="s">
        <v>917</v>
      </c>
    </row>
    <row r="16" spans="1:5">
      <c r="A16" s="144">
        <f t="shared" si="0"/>
        <v>2</v>
      </c>
      <c r="B16" s="144">
        <v>1</v>
      </c>
      <c r="C16" s="216" t="s">
        <v>1024</v>
      </c>
      <c r="D16" s="156" t="s">
        <v>1025</v>
      </c>
    </row>
    <row r="17" spans="1:5" ht="39.6">
      <c r="A17" s="144">
        <f t="shared" si="0"/>
        <v>3</v>
      </c>
      <c r="B17" s="144">
        <v>2</v>
      </c>
      <c r="C17" s="10" t="s">
        <v>120</v>
      </c>
      <c r="D17" s="14" t="str">
        <f>DEC2HEX(A70-5)</f>
        <v>39</v>
      </c>
      <c r="E17" s="156"/>
    </row>
    <row r="18" spans="1:5" ht="12.75" customHeight="1">
      <c r="A18" s="144">
        <f t="shared" si="0"/>
        <v>5</v>
      </c>
      <c r="B18" s="144">
        <v>1</v>
      </c>
      <c r="C18" s="224" t="s">
        <v>649</v>
      </c>
      <c r="D18" s="510" t="s">
        <v>1026</v>
      </c>
      <c r="E18" s="156"/>
    </row>
    <row r="19" spans="1:5">
      <c r="A19" s="144">
        <f t="shared" si="0"/>
        <v>6</v>
      </c>
      <c r="B19" s="144">
        <v>1</v>
      </c>
      <c r="C19" s="224" t="s">
        <v>1027</v>
      </c>
      <c r="D19" s="510"/>
      <c r="E19" s="156"/>
    </row>
    <row r="20" spans="1:5" ht="49.5" customHeight="1">
      <c r="A20" s="144">
        <f t="shared" si="0"/>
        <v>7</v>
      </c>
      <c r="B20" s="144">
        <v>3</v>
      </c>
      <c r="C20" s="217" t="s">
        <v>592</v>
      </c>
      <c r="D20" s="156" t="s">
        <v>593</v>
      </c>
    </row>
    <row r="21" spans="1:5">
      <c r="A21" s="144">
        <f t="shared" si="0"/>
        <v>10</v>
      </c>
      <c r="B21" s="144">
        <v>1</v>
      </c>
      <c r="C21" s="197" t="s">
        <v>595</v>
      </c>
      <c r="D21" s="197" t="s">
        <v>596</v>
      </c>
    </row>
    <row r="22" spans="1:5" ht="27.6">
      <c r="A22" s="144">
        <f t="shared" si="0"/>
        <v>11</v>
      </c>
      <c r="B22" s="144">
        <v>1</v>
      </c>
      <c r="C22" s="197" t="s">
        <v>597</v>
      </c>
      <c r="D22" s="225" t="s">
        <v>598</v>
      </c>
    </row>
    <row r="23" spans="1:5">
      <c r="A23" s="144">
        <f t="shared" si="0"/>
        <v>12</v>
      </c>
      <c r="B23" s="144">
        <v>1</v>
      </c>
      <c r="C23" s="197" t="s">
        <v>599</v>
      </c>
      <c r="D23" s="197" t="s">
        <v>596</v>
      </c>
    </row>
    <row r="24" spans="1:5" ht="27.6">
      <c r="A24" s="144">
        <f t="shared" si="0"/>
        <v>13</v>
      </c>
      <c r="B24" s="144">
        <v>1</v>
      </c>
      <c r="C24" s="197" t="s">
        <v>600</v>
      </c>
      <c r="D24" s="225" t="s">
        <v>598</v>
      </c>
    </row>
    <row r="25" spans="1:5">
      <c r="A25" s="144">
        <f t="shared" si="0"/>
        <v>14</v>
      </c>
      <c r="B25" s="144">
        <v>1</v>
      </c>
      <c r="C25" s="197" t="s">
        <v>601</v>
      </c>
      <c r="D25" s="197" t="s">
        <v>596</v>
      </c>
    </row>
    <row r="26" spans="1:5" ht="27.6">
      <c r="A26" s="144">
        <f t="shared" si="0"/>
        <v>15</v>
      </c>
      <c r="B26" s="144">
        <v>1</v>
      </c>
      <c r="C26" s="197" t="s">
        <v>224</v>
      </c>
      <c r="D26" s="225" t="s">
        <v>598</v>
      </c>
    </row>
    <row r="27" spans="1:5">
      <c r="A27" s="144">
        <f t="shared" si="0"/>
        <v>16</v>
      </c>
      <c r="B27" s="144">
        <v>1</v>
      </c>
      <c r="C27" s="197" t="s">
        <v>602</v>
      </c>
      <c r="D27" s="197" t="s">
        <v>596</v>
      </c>
    </row>
    <row r="28" spans="1:5" ht="27.6">
      <c r="A28" s="144">
        <f t="shared" si="0"/>
        <v>17</v>
      </c>
      <c r="B28" s="144">
        <v>1</v>
      </c>
      <c r="C28" s="197" t="s">
        <v>225</v>
      </c>
      <c r="D28" s="225" t="s">
        <v>598</v>
      </c>
    </row>
    <row r="29" spans="1:5">
      <c r="A29" s="144">
        <f t="shared" si="0"/>
        <v>18</v>
      </c>
      <c r="B29" s="144">
        <v>1</v>
      </c>
      <c r="C29" s="197" t="s">
        <v>603</v>
      </c>
      <c r="D29" s="197" t="s">
        <v>596</v>
      </c>
    </row>
    <row r="30" spans="1:5" ht="27.6">
      <c r="A30" s="144">
        <f t="shared" si="0"/>
        <v>19</v>
      </c>
      <c r="B30" s="144">
        <v>1</v>
      </c>
      <c r="C30" s="197" t="s">
        <v>226</v>
      </c>
      <c r="D30" s="225" t="s">
        <v>598</v>
      </c>
    </row>
    <row r="31" spans="1:5">
      <c r="A31" s="144">
        <f t="shared" si="0"/>
        <v>20</v>
      </c>
      <c r="B31" s="144">
        <v>1</v>
      </c>
      <c r="C31" s="197" t="s">
        <v>604</v>
      </c>
      <c r="D31" s="197" t="s">
        <v>596</v>
      </c>
    </row>
    <row r="32" spans="1:5" ht="27.6">
      <c r="A32" s="144">
        <f t="shared" si="0"/>
        <v>21</v>
      </c>
      <c r="B32" s="144">
        <v>1</v>
      </c>
      <c r="C32" s="197" t="s">
        <v>227</v>
      </c>
      <c r="D32" s="225" t="s">
        <v>598</v>
      </c>
    </row>
    <row r="33" spans="1:4">
      <c r="A33" s="144">
        <f t="shared" si="0"/>
        <v>22</v>
      </c>
      <c r="B33" s="144">
        <v>1</v>
      </c>
      <c r="C33" s="197" t="s">
        <v>605</v>
      </c>
      <c r="D33" s="197" t="s">
        <v>596</v>
      </c>
    </row>
    <row r="34" spans="1:4" ht="27.6">
      <c r="A34" s="144">
        <f t="shared" si="0"/>
        <v>23</v>
      </c>
      <c r="B34" s="144">
        <v>1</v>
      </c>
      <c r="C34" s="197" t="s">
        <v>228</v>
      </c>
      <c r="D34" s="225" t="s">
        <v>598</v>
      </c>
    </row>
    <row r="35" spans="1:4">
      <c r="A35" s="144">
        <f t="shared" si="0"/>
        <v>24</v>
      </c>
      <c r="B35" s="144">
        <v>1</v>
      </c>
      <c r="C35" s="197" t="s">
        <v>606</v>
      </c>
      <c r="D35" s="197" t="s">
        <v>596</v>
      </c>
    </row>
    <row r="36" spans="1:4" ht="27.6">
      <c r="A36" s="144">
        <f t="shared" si="0"/>
        <v>25</v>
      </c>
      <c r="B36" s="144">
        <v>1</v>
      </c>
      <c r="C36" s="197" t="s">
        <v>229</v>
      </c>
      <c r="D36" s="225" t="s">
        <v>598</v>
      </c>
    </row>
    <row r="37" spans="1:4">
      <c r="A37" s="144">
        <f t="shared" si="0"/>
        <v>26</v>
      </c>
      <c r="B37" s="144">
        <v>1</v>
      </c>
      <c r="C37" s="197" t="s">
        <v>607</v>
      </c>
      <c r="D37" s="197" t="s">
        <v>596</v>
      </c>
    </row>
    <row r="38" spans="1:4" ht="13.8">
      <c r="A38" s="144">
        <f t="shared" si="0"/>
        <v>27</v>
      </c>
      <c r="B38" s="144">
        <v>1</v>
      </c>
      <c r="C38" s="197" t="s">
        <v>608</v>
      </c>
      <c r="D38" s="225"/>
    </row>
    <row r="39" spans="1:4">
      <c r="A39" s="144">
        <f t="shared" si="0"/>
        <v>28</v>
      </c>
      <c r="B39" s="144">
        <v>1</v>
      </c>
      <c r="C39" s="197" t="s">
        <v>608</v>
      </c>
      <c r="D39" s="197"/>
    </row>
    <row r="40" spans="1:4" ht="13.8">
      <c r="A40" s="144">
        <f t="shared" si="0"/>
        <v>29</v>
      </c>
      <c r="B40" s="144">
        <v>1</v>
      </c>
      <c r="C40" s="197" t="s">
        <v>608</v>
      </c>
      <c r="D40" s="225"/>
    </row>
    <row r="41" spans="1:4">
      <c r="A41" s="144">
        <f t="shared" si="0"/>
        <v>30</v>
      </c>
      <c r="B41" s="144">
        <v>1</v>
      </c>
      <c r="C41" s="197" t="s">
        <v>608</v>
      </c>
      <c r="D41" s="226"/>
    </row>
    <row r="42" spans="1:4" ht="27.6">
      <c r="A42" s="144">
        <f t="shared" si="0"/>
        <v>31</v>
      </c>
      <c r="B42" s="144">
        <v>1</v>
      </c>
      <c r="C42" s="197" t="s">
        <v>230</v>
      </c>
      <c r="D42" s="225" t="s">
        <v>598</v>
      </c>
    </row>
    <row r="43" spans="1:4">
      <c r="A43" s="144">
        <f t="shared" si="0"/>
        <v>32</v>
      </c>
      <c r="B43" s="144">
        <v>1</v>
      </c>
      <c r="C43" s="197" t="s">
        <v>611</v>
      </c>
      <c r="D43" s="197" t="s">
        <v>596</v>
      </c>
    </row>
    <row r="44" spans="1:4" ht="27.6">
      <c r="A44" s="144">
        <f t="shared" si="0"/>
        <v>33</v>
      </c>
      <c r="B44" s="144">
        <v>1</v>
      </c>
      <c r="C44" s="197" t="s">
        <v>231</v>
      </c>
      <c r="D44" s="225" t="s">
        <v>598</v>
      </c>
    </row>
    <row r="45" spans="1:4">
      <c r="A45" s="144">
        <f t="shared" si="0"/>
        <v>34</v>
      </c>
      <c r="B45" s="144">
        <v>1</v>
      </c>
      <c r="C45" s="197" t="s">
        <v>612</v>
      </c>
      <c r="D45" s="197" t="s">
        <v>596</v>
      </c>
    </row>
    <row r="46" spans="1:4" ht="12.75" customHeight="1">
      <c r="A46" s="144">
        <f t="shared" si="0"/>
        <v>35</v>
      </c>
      <c r="B46" s="144">
        <v>1</v>
      </c>
      <c r="C46" s="197" t="s">
        <v>608</v>
      </c>
      <c r="D46" s="509"/>
    </row>
    <row r="47" spans="1:4">
      <c r="A47" s="144">
        <f t="shared" si="0"/>
        <v>36</v>
      </c>
      <c r="B47" s="144">
        <v>1</v>
      </c>
      <c r="C47" s="197" t="s">
        <v>608</v>
      </c>
      <c r="D47" s="509"/>
    </row>
    <row r="48" spans="1:4">
      <c r="A48" s="144">
        <f t="shared" si="0"/>
        <v>37</v>
      </c>
      <c r="B48" s="144">
        <v>1</v>
      </c>
      <c r="C48" s="197" t="s">
        <v>608</v>
      </c>
    </row>
    <row r="49" spans="1:4">
      <c r="A49" s="144">
        <f t="shared" si="0"/>
        <v>38</v>
      </c>
      <c r="B49" s="144">
        <v>1</v>
      </c>
      <c r="C49" s="197" t="s">
        <v>608</v>
      </c>
      <c r="D49" s="197"/>
    </row>
    <row r="50" spans="1:4" ht="13.8">
      <c r="A50" s="144">
        <f t="shared" si="0"/>
        <v>39</v>
      </c>
      <c r="B50" s="144">
        <v>1</v>
      </c>
      <c r="C50" s="197" t="s">
        <v>608</v>
      </c>
      <c r="D50" s="225"/>
    </row>
    <row r="51" spans="1:4">
      <c r="A51" s="144">
        <f t="shared" si="0"/>
        <v>40</v>
      </c>
      <c r="B51" s="144">
        <v>1</v>
      </c>
      <c r="C51" s="197" t="s">
        <v>608</v>
      </c>
      <c r="D51" s="197"/>
    </row>
    <row r="52" spans="1:4" ht="13.8">
      <c r="A52" s="144">
        <f t="shared" si="0"/>
        <v>41</v>
      </c>
      <c r="B52" s="144">
        <v>1</v>
      </c>
      <c r="C52" s="197" t="s">
        <v>608</v>
      </c>
      <c r="D52" s="225"/>
    </row>
    <row r="53" spans="1:4">
      <c r="A53" s="144">
        <f t="shared" si="0"/>
        <v>42</v>
      </c>
      <c r="B53" s="144">
        <v>1</v>
      </c>
      <c r="C53" s="197" t="s">
        <v>608</v>
      </c>
      <c r="D53" s="197"/>
    </row>
    <row r="54" spans="1:4" ht="13.8">
      <c r="A54" s="144">
        <f t="shared" si="0"/>
        <v>43</v>
      </c>
      <c r="B54" s="144">
        <v>1</v>
      </c>
      <c r="C54" s="197" t="s">
        <v>608</v>
      </c>
      <c r="D54" s="225"/>
    </row>
    <row r="55" spans="1:4">
      <c r="A55" s="144">
        <f t="shared" si="0"/>
        <v>44</v>
      </c>
      <c r="B55" s="144">
        <v>1</v>
      </c>
      <c r="C55" s="197" t="s">
        <v>608</v>
      </c>
      <c r="D55" s="197"/>
    </row>
    <row r="56" spans="1:4" ht="13.8">
      <c r="A56" s="144">
        <f t="shared" si="0"/>
        <v>45</v>
      </c>
      <c r="B56" s="144">
        <v>1</v>
      </c>
      <c r="C56" s="197" t="s">
        <v>608</v>
      </c>
      <c r="D56" s="225"/>
    </row>
    <row r="57" spans="1:4" ht="27.6">
      <c r="A57" s="144">
        <f t="shared" si="0"/>
        <v>46</v>
      </c>
      <c r="B57" s="144">
        <v>1</v>
      </c>
      <c r="C57" s="226" t="s">
        <v>177</v>
      </c>
      <c r="D57" s="225" t="s">
        <v>598</v>
      </c>
    </row>
    <row r="58" spans="1:4">
      <c r="A58" s="144">
        <f t="shared" si="0"/>
        <v>47</v>
      </c>
      <c r="B58" s="144">
        <v>1</v>
      </c>
      <c r="C58" s="197" t="s">
        <v>620</v>
      </c>
      <c r="D58" s="197" t="s">
        <v>596</v>
      </c>
    </row>
    <row r="59" spans="1:4">
      <c r="A59" s="144">
        <f t="shared" si="0"/>
        <v>48</v>
      </c>
      <c r="B59" s="144">
        <v>1</v>
      </c>
      <c r="C59" s="197" t="s">
        <v>608</v>
      </c>
      <c r="D59" s="197"/>
    </row>
    <row r="60" spans="1:4" ht="13.8">
      <c r="A60" s="144">
        <f t="shared" si="0"/>
        <v>49</v>
      </c>
      <c r="B60" s="144">
        <v>1</v>
      </c>
      <c r="C60" s="197" t="s">
        <v>608</v>
      </c>
      <c r="D60" s="225"/>
    </row>
    <row r="61" spans="1:4">
      <c r="A61" s="144">
        <f t="shared" si="0"/>
        <v>50</v>
      </c>
      <c r="B61" s="144">
        <v>1</v>
      </c>
      <c r="C61" s="197" t="s">
        <v>608</v>
      </c>
      <c r="D61" s="197"/>
    </row>
    <row r="62" spans="1:4" ht="13.8">
      <c r="A62" s="144">
        <f t="shared" si="0"/>
        <v>51</v>
      </c>
      <c r="B62" s="144">
        <v>1</v>
      </c>
      <c r="C62" s="197" t="s">
        <v>608</v>
      </c>
      <c r="D62" s="225"/>
    </row>
    <row r="63" spans="1:4">
      <c r="A63" s="144">
        <f t="shared" si="0"/>
        <v>52</v>
      </c>
      <c r="B63" s="144">
        <v>1</v>
      </c>
      <c r="C63" s="197" t="s">
        <v>608</v>
      </c>
      <c r="D63" s="197"/>
    </row>
    <row r="64" spans="1:4">
      <c r="A64" s="144">
        <f t="shared" si="0"/>
        <v>53</v>
      </c>
      <c r="B64" s="144">
        <v>1</v>
      </c>
      <c r="C64" s="197" t="s">
        <v>608</v>
      </c>
      <c r="D64" s="226"/>
    </row>
    <row r="65" spans="1:4">
      <c r="A65" s="144">
        <f t="shared" si="0"/>
        <v>54</v>
      </c>
      <c r="B65" s="144">
        <v>1</v>
      </c>
      <c r="C65" s="197" t="s">
        <v>608</v>
      </c>
      <c r="D65" s="197"/>
    </row>
    <row r="66" spans="1:4" ht="13.8">
      <c r="A66" s="144">
        <f t="shared" si="0"/>
        <v>55</v>
      </c>
      <c r="B66" s="144">
        <v>1</v>
      </c>
      <c r="C66" s="197" t="s">
        <v>632</v>
      </c>
      <c r="D66" s="225" t="s">
        <v>633</v>
      </c>
    </row>
    <row r="67" spans="1:4">
      <c r="A67" s="144">
        <f t="shared" si="0"/>
        <v>56</v>
      </c>
      <c r="B67" s="144">
        <v>1</v>
      </c>
      <c r="C67" s="197" t="s">
        <v>635</v>
      </c>
      <c r="D67" s="197" t="s">
        <v>596</v>
      </c>
    </row>
    <row r="68" spans="1:4" ht="22.8">
      <c r="A68" s="144">
        <f t="shared" si="0"/>
        <v>57</v>
      </c>
      <c r="B68" s="144">
        <v>4</v>
      </c>
      <c r="C68" s="144" t="s">
        <v>129</v>
      </c>
      <c r="D68" s="156" t="s">
        <v>130</v>
      </c>
    </row>
    <row r="69" spans="1:4">
      <c r="A69" s="144">
        <f t="shared" si="0"/>
        <v>61</v>
      </c>
      <c r="B69" s="144">
        <v>1</v>
      </c>
      <c r="C69" s="144" t="s">
        <v>131</v>
      </c>
      <c r="D69" s="156" t="s">
        <v>132</v>
      </c>
    </row>
    <row r="70" spans="1:4">
      <c r="A70" s="144">
        <f t="shared" si="0"/>
        <v>62</v>
      </c>
      <c r="B70" s="157" t="s">
        <v>486</v>
      </c>
    </row>
  </sheetData>
  <mergeCells count="5">
    <mergeCell ref="A2:E2"/>
    <mergeCell ref="A4:E4"/>
    <mergeCell ref="D18:D19"/>
    <mergeCell ref="D46:D47"/>
    <mergeCell ref="A6:E10"/>
  </mergeCells>
  <pageMargins left="0.75" right="0.75" top="1" bottom="1" header="0.51111111111111096" footer="0.51111111111111096"/>
  <pageSetup orientation="portrait" horizontalDpi="300" verticalDpi="300"/>
  <headerFooter scaleWithDoc="0"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9"/>
  <sheetViews>
    <sheetView zoomScale="115" zoomScaleNormal="115" workbookViewId="0">
      <selection activeCell="D54" sqref="D54"/>
    </sheetView>
  </sheetViews>
  <sheetFormatPr defaultColWidth="9.109375" defaultRowHeight="13.2"/>
  <cols>
    <col min="1" max="1" width="24.44140625" style="144" customWidth="1"/>
    <col min="2" max="2" width="17.6640625" style="144" customWidth="1"/>
    <col min="3" max="3" width="26" style="198" customWidth="1"/>
    <col min="4" max="4" width="48.88671875"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1028</v>
      </c>
      <c r="B2" s="505"/>
      <c r="C2" s="505"/>
      <c r="D2" s="505"/>
      <c r="E2" s="505"/>
    </row>
    <row r="4" spans="1:5" s="196" customFormat="1" ht="15">
      <c r="A4" s="505" t="s">
        <v>1029</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20" si="0">A7+B7</f>
        <v>1</v>
      </c>
      <c r="B8" s="144">
        <v>1</v>
      </c>
      <c r="C8" s="198" t="s">
        <v>770</v>
      </c>
      <c r="D8" s="145" t="s">
        <v>917</v>
      </c>
    </row>
    <row r="9" spans="1:5">
      <c r="A9" s="144">
        <f t="shared" si="0"/>
        <v>2</v>
      </c>
      <c r="B9" s="144">
        <v>1</v>
      </c>
      <c r="C9" s="198" t="s">
        <v>527</v>
      </c>
      <c r="D9" s="145" t="s">
        <v>1030</v>
      </c>
    </row>
    <row r="10" spans="1:5" ht="39.6">
      <c r="A10" s="144">
        <f t="shared" si="0"/>
        <v>3</v>
      </c>
      <c r="B10" s="144">
        <v>2</v>
      </c>
      <c r="C10" s="10" t="s">
        <v>120</v>
      </c>
      <c r="D10" s="145" t="str">
        <f>DEC2HEX(A20-5)</f>
        <v>D</v>
      </c>
      <c r="E10" s="156"/>
    </row>
    <row r="11" spans="1:5" s="197" customFormat="1">
      <c r="A11" s="144">
        <f t="shared" si="0"/>
        <v>5</v>
      </c>
      <c r="B11" s="200">
        <v>1</v>
      </c>
      <c r="C11" s="200" t="s">
        <v>649</v>
      </c>
      <c r="D11" s="201" t="s">
        <v>920</v>
      </c>
    </row>
    <row r="12" spans="1:5">
      <c r="A12" s="144">
        <f t="shared" si="0"/>
        <v>6</v>
      </c>
      <c r="B12" s="144">
        <v>1</v>
      </c>
      <c r="C12" s="10" t="s">
        <v>921</v>
      </c>
      <c r="D12" s="145" t="s">
        <v>922</v>
      </c>
    </row>
    <row r="13" spans="1:5">
      <c r="A13" s="144">
        <f t="shared" si="0"/>
        <v>7</v>
      </c>
      <c r="B13" s="144">
        <v>1</v>
      </c>
      <c r="C13" s="10" t="s">
        <v>1031</v>
      </c>
      <c r="D13" s="145" t="s">
        <v>1032</v>
      </c>
    </row>
    <row r="14" spans="1:5">
      <c r="A14" s="144">
        <f t="shared" si="0"/>
        <v>8</v>
      </c>
      <c r="B14" s="144">
        <v>1</v>
      </c>
      <c r="C14" s="10" t="s">
        <v>347</v>
      </c>
      <c r="D14" s="145" t="s">
        <v>1033</v>
      </c>
    </row>
    <row r="15" spans="1:5">
      <c r="A15" s="144">
        <f t="shared" si="0"/>
        <v>9</v>
      </c>
      <c r="B15" s="144">
        <v>1</v>
      </c>
      <c r="C15" s="10" t="s">
        <v>347</v>
      </c>
    </row>
    <row r="16" spans="1:5">
      <c r="A16" s="144">
        <f t="shared" si="0"/>
        <v>10</v>
      </c>
      <c r="B16" s="144">
        <v>1</v>
      </c>
      <c r="C16" s="10" t="s">
        <v>347</v>
      </c>
    </row>
    <row r="17" spans="1:5">
      <c r="A17" s="144">
        <f t="shared" si="0"/>
        <v>11</v>
      </c>
      <c r="B17" s="144">
        <v>2</v>
      </c>
      <c r="C17" s="144" t="s">
        <v>127</v>
      </c>
      <c r="D17" s="145" t="s">
        <v>128</v>
      </c>
    </row>
    <row r="18" spans="1:5" ht="22.8">
      <c r="A18" s="144">
        <f t="shared" si="0"/>
        <v>13</v>
      </c>
      <c r="B18" s="144">
        <v>4</v>
      </c>
      <c r="C18" s="144" t="s">
        <v>129</v>
      </c>
      <c r="D18" s="145" t="s">
        <v>130</v>
      </c>
    </row>
    <row r="19" spans="1:5">
      <c r="A19" s="144">
        <f t="shared" si="0"/>
        <v>17</v>
      </c>
      <c r="B19" s="144">
        <v>1</v>
      </c>
      <c r="C19" s="144" t="s">
        <v>131</v>
      </c>
      <c r="D19" s="145" t="s">
        <v>132</v>
      </c>
    </row>
    <row r="20" spans="1:5">
      <c r="A20" s="144">
        <f t="shared" si="0"/>
        <v>18</v>
      </c>
      <c r="B20" s="157" t="s">
        <v>486</v>
      </c>
    </row>
    <row r="24" spans="1:5" ht="15">
      <c r="A24" s="155"/>
      <c r="B24" s="155"/>
    </row>
    <row r="25" spans="1:5" ht="15">
      <c r="A25" s="505" t="s">
        <v>1034</v>
      </c>
      <c r="B25" s="505"/>
      <c r="C25" s="505"/>
      <c r="D25" s="505"/>
      <c r="E25" s="505"/>
    </row>
    <row r="27" spans="1:5" s="196" customFormat="1" ht="15">
      <c r="A27" s="505" t="s">
        <v>1035</v>
      </c>
      <c r="B27" s="505"/>
      <c r="C27" s="505"/>
      <c r="D27" s="505"/>
      <c r="E27" s="505"/>
    </row>
    <row r="28" spans="1:5" ht="15">
      <c r="A28" s="151"/>
      <c r="B28" s="155"/>
      <c r="D28" s="175"/>
    </row>
    <row r="29" spans="1:5" s="155" customFormat="1" ht="24" customHeight="1">
      <c r="A29" s="152" t="s">
        <v>110</v>
      </c>
      <c r="B29" s="152" t="s">
        <v>111</v>
      </c>
      <c r="C29" s="153" t="s">
        <v>112</v>
      </c>
      <c r="D29" s="168" t="s">
        <v>113</v>
      </c>
    </row>
    <row r="30" spans="1:5">
      <c r="A30" s="144">
        <v>0</v>
      </c>
      <c r="B30" s="144">
        <v>1</v>
      </c>
      <c r="C30" s="198" t="s">
        <v>114</v>
      </c>
      <c r="D30" s="145" t="s">
        <v>115</v>
      </c>
    </row>
    <row r="31" spans="1:5">
      <c r="A31" s="144">
        <f t="shared" ref="A31:A49" si="1">A30+B30</f>
        <v>1</v>
      </c>
      <c r="B31" s="144">
        <v>1</v>
      </c>
      <c r="C31" s="198" t="s">
        <v>649</v>
      </c>
      <c r="D31" s="145" t="s">
        <v>948</v>
      </c>
    </row>
    <row r="32" spans="1:5">
      <c r="A32" s="144">
        <f t="shared" si="1"/>
        <v>2</v>
      </c>
      <c r="B32" s="144">
        <v>1</v>
      </c>
      <c r="C32" s="198" t="s">
        <v>527</v>
      </c>
      <c r="D32" s="145" t="s">
        <v>1036</v>
      </c>
    </row>
    <row r="33" spans="1:5" ht="39.6">
      <c r="A33" s="144">
        <f t="shared" si="1"/>
        <v>3</v>
      </c>
      <c r="B33" s="144">
        <v>2</v>
      </c>
      <c r="C33" s="10" t="s">
        <v>120</v>
      </c>
      <c r="D33" s="145" t="str">
        <f>DEC2HEX(A49-5)</f>
        <v>23</v>
      </c>
      <c r="E33" s="156"/>
    </row>
    <row r="34" spans="1:5" s="197" customFormat="1">
      <c r="A34" s="144">
        <f t="shared" si="1"/>
        <v>5</v>
      </c>
      <c r="B34" s="200">
        <v>1</v>
      </c>
      <c r="C34" s="10" t="s">
        <v>921</v>
      </c>
      <c r="D34" s="145" t="s">
        <v>922</v>
      </c>
    </row>
    <row r="35" spans="1:5" s="197" customFormat="1">
      <c r="A35" s="144">
        <f t="shared" si="1"/>
        <v>6</v>
      </c>
      <c r="B35" s="144">
        <v>1</v>
      </c>
      <c r="C35" s="10" t="s">
        <v>1037</v>
      </c>
      <c r="D35" s="145" t="s">
        <v>1032</v>
      </c>
    </row>
    <row r="36" spans="1:5" s="197" customFormat="1" ht="285">
      <c r="A36" s="144">
        <f t="shared" si="1"/>
        <v>7</v>
      </c>
      <c r="B36" s="200">
        <v>1</v>
      </c>
      <c r="C36" s="10" t="s">
        <v>493</v>
      </c>
      <c r="D36" s="127" t="s">
        <v>494</v>
      </c>
    </row>
    <row r="37" spans="1:5" s="197" customFormat="1" ht="39.6">
      <c r="A37" s="144">
        <f t="shared" si="1"/>
        <v>8</v>
      </c>
      <c r="B37" s="200">
        <v>1</v>
      </c>
      <c r="C37" s="219" t="s">
        <v>782</v>
      </c>
      <c r="D37" s="199" t="s">
        <v>783</v>
      </c>
    </row>
    <row r="38" spans="1:5" s="197" customFormat="1" ht="26.4">
      <c r="A38" s="144">
        <f t="shared" si="1"/>
        <v>9</v>
      </c>
      <c r="B38" s="200">
        <v>1</v>
      </c>
      <c r="C38" s="219" t="s">
        <v>784</v>
      </c>
      <c r="D38" s="199" t="s">
        <v>785</v>
      </c>
    </row>
    <row r="39" spans="1:5" s="197" customFormat="1" ht="39.6">
      <c r="A39" s="144">
        <f t="shared" si="1"/>
        <v>10</v>
      </c>
      <c r="B39" s="200">
        <v>1</v>
      </c>
      <c r="C39" s="219" t="s">
        <v>786</v>
      </c>
      <c r="D39" s="199" t="s">
        <v>787</v>
      </c>
    </row>
    <row r="40" spans="1:5" s="197" customFormat="1" ht="52.8">
      <c r="A40" s="144">
        <f t="shared" si="1"/>
        <v>11</v>
      </c>
      <c r="B40" s="200">
        <v>1</v>
      </c>
      <c r="C40" s="219" t="s">
        <v>788</v>
      </c>
      <c r="D40" s="199" t="s">
        <v>789</v>
      </c>
    </row>
    <row r="41" spans="1:5" s="197" customFormat="1" ht="39.6">
      <c r="A41" s="144">
        <f t="shared" si="1"/>
        <v>12</v>
      </c>
      <c r="B41" s="200">
        <v>1</v>
      </c>
      <c r="C41" s="219" t="s">
        <v>790</v>
      </c>
      <c r="D41" s="199" t="s">
        <v>791</v>
      </c>
    </row>
    <row r="42" spans="1:5" s="197" customFormat="1" ht="52.8">
      <c r="A42" s="144">
        <f t="shared" si="1"/>
        <v>13</v>
      </c>
      <c r="B42" s="200">
        <v>1</v>
      </c>
      <c r="C42" s="219" t="s">
        <v>792</v>
      </c>
      <c r="D42" s="199" t="s">
        <v>793</v>
      </c>
    </row>
    <row r="43" spans="1:5" s="197" customFormat="1" ht="66">
      <c r="A43" s="144">
        <f t="shared" si="1"/>
        <v>14</v>
      </c>
      <c r="B43" s="200">
        <v>1</v>
      </c>
      <c r="C43" s="219" t="s">
        <v>794</v>
      </c>
      <c r="D43" s="199" t="s">
        <v>795</v>
      </c>
    </row>
    <row r="44" spans="1:5" s="197" customFormat="1">
      <c r="A44" s="144">
        <f t="shared" si="1"/>
        <v>15</v>
      </c>
      <c r="B44" s="200">
        <v>2</v>
      </c>
      <c r="C44" s="219" t="s">
        <v>796</v>
      </c>
      <c r="D44" s="199" t="s">
        <v>776</v>
      </c>
    </row>
    <row r="45" spans="1:5" s="197" customFormat="1" ht="52.8">
      <c r="A45" s="144">
        <f t="shared" si="1"/>
        <v>17</v>
      </c>
      <c r="B45" s="200">
        <v>16</v>
      </c>
      <c r="C45" s="219" t="s">
        <v>797</v>
      </c>
      <c r="D45" s="199" t="s">
        <v>798</v>
      </c>
    </row>
    <row r="46" spans="1:5">
      <c r="A46" s="144">
        <f t="shared" si="1"/>
        <v>33</v>
      </c>
      <c r="B46" s="144">
        <v>2</v>
      </c>
      <c r="C46" s="144" t="s">
        <v>127</v>
      </c>
      <c r="D46" s="145" t="s">
        <v>128</v>
      </c>
    </row>
    <row r="47" spans="1:5" ht="22.8">
      <c r="A47" s="144">
        <f t="shared" si="1"/>
        <v>35</v>
      </c>
      <c r="B47" s="144">
        <v>4</v>
      </c>
      <c r="C47" s="144" t="s">
        <v>129</v>
      </c>
      <c r="D47" s="145" t="s">
        <v>130</v>
      </c>
    </row>
    <row r="48" spans="1:5">
      <c r="A48" s="144">
        <f t="shared" si="1"/>
        <v>39</v>
      </c>
      <c r="B48" s="144">
        <v>1</v>
      </c>
      <c r="C48" s="144" t="s">
        <v>131</v>
      </c>
      <c r="D48" s="145" t="s">
        <v>132</v>
      </c>
    </row>
    <row r="49" spans="1:2">
      <c r="A49" s="144">
        <f t="shared" si="1"/>
        <v>40</v>
      </c>
      <c r="B49" s="157" t="s">
        <v>486</v>
      </c>
    </row>
  </sheetData>
  <mergeCells count="4">
    <mergeCell ref="A2:E2"/>
    <mergeCell ref="A4:E4"/>
    <mergeCell ref="A25:E25"/>
    <mergeCell ref="A27:E27"/>
  </mergeCells>
  <pageMargins left="0.75" right="0.75" top="1" bottom="1" header="0.51111111111111096" footer="0.51111111111111096"/>
  <pageSetup orientation="portrait" horizontalDpi="300" verticalDpi="300"/>
  <headerFooter scaleWithDoc="0"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9"/>
  <sheetViews>
    <sheetView topLeftCell="A39" zoomScale="115" zoomScaleNormal="115" workbookViewId="0">
      <selection activeCell="D54" sqref="D54"/>
    </sheetView>
  </sheetViews>
  <sheetFormatPr defaultColWidth="9.109375" defaultRowHeight="13.2"/>
  <cols>
    <col min="1" max="1" width="24.21875" style="144" customWidth="1"/>
    <col min="2" max="2" width="17.6640625" style="144" customWidth="1"/>
    <col min="3" max="3" width="26" style="198" customWidth="1"/>
    <col min="4" max="4" width="48.88671875"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1038</v>
      </c>
      <c r="B2" s="505"/>
      <c r="C2" s="505"/>
      <c r="D2" s="505"/>
      <c r="E2" s="505"/>
    </row>
    <row r="4" spans="1:5" s="196" customFormat="1" ht="15">
      <c r="A4" s="505" t="s">
        <v>1029</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27" si="0">A7+B7</f>
        <v>1</v>
      </c>
      <c r="B8" s="144">
        <v>1</v>
      </c>
      <c r="C8" s="198" t="s">
        <v>770</v>
      </c>
      <c r="D8" s="145" t="s">
        <v>917</v>
      </c>
    </row>
    <row r="9" spans="1:5">
      <c r="A9" s="144">
        <f t="shared" si="0"/>
        <v>2</v>
      </c>
      <c r="B9" s="144">
        <v>1</v>
      </c>
      <c r="C9" s="198" t="s">
        <v>527</v>
      </c>
      <c r="D9" s="145" t="s">
        <v>1030</v>
      </c>
    </row>
    <row r="10" spans="1:5" ht="39.6">
      <c r="A10" s="144">
        <f t="shared" si="0"/>
        <v>3</v>
      </c>
      <c r="B10" s="144">
        <v>2</v>
      </c>
      <c r="C10" s="10" t="s">
        <v>120</v>
      </c>
      <c r="D10" s="145" t="str">
        <f>DEC2HEX(A27-5)</f>
        <v>24</v>
      </c>
      <c r="E10" s="156"/>
    </row>
    <row r="11" spans="1:5" s="197" customFormat="1">
      <c r="A11" s="144">
        <f t="shared" si="0"/>
        <v>5</v>
      </c>
      <c r="B11" s="200">
        <v>1</v>
      </c>
      <c r="C11" s="200" t="s">
        <v>649</v>
      </c>
      <c r="D11" s="201" t="s">
        <v>920</v>
      </c>
    </row>
    <row r="12" spans="1:5">
      <c r="A12" s="144">
        <f t="shared" si="0"/>
        <v>6</v>
      </c>
      <c r="B12" s="144">
        <v>1</v>
      </c>
      <c r="C12" s="10" t="s">
        <v>921</v>
      </c>
      <c r="D12" s="145" t="s">
        <v>922</v>
      </c>
    </row>
    <row r="13" spans="1:5">
      <c r="A13" s="144">
        <f t="shared" si="0"/>
        <v>7</v>
      </c>
      <c r="B13" s="144">
        <v>1</v>
      </c>
      <c r="C13" s="10" t="s">
        <v>1037</v>
      </c>
      <c r="D13" s="145" t="s">
        <v>1032</v>
      </c>
    </row>
    <row r="14" spans="1:5" s="197" customFormat="1" ht="285">
      <c r="A14" s="144">
        <f t="shared" si="0"/>
        <v>8</v>
      </c>
      <c r="B14" s="200">
        <v>1</v>
      </c>
      <c r="C14" s="10" t="s">
        <v>493</v>
      </c>
      <c r="D14" s="127" t="s">
        <v>494</v>
      </c>
    </row>
    <row r="15" spans="1:5" s="197" customFormat="1" ht="39.6">
      <c r="A15" s="144">
        <f t="shared" si="0"/>
        <v>9</v>
      </c>
      <c r="B15" s="200">
        <v>1</v>
      </c>
      <c r="C15" s="219" t="s">
        <v>782</v>
      </c>
      <c r="D15" s="199" t="s">
        <v>783</v>
      </c>
    </row>
    <row r="16" spans="1:5" s="197" customFormat="1" ht="26.4">
      <c r="A16" s="144">
        <f t="shared" si="0"/>
        <v>10</v>
      </c>
      <c r="B16" s="200">
        <v>1</v>
      </c>
      <c r="C16" s="219" t="s">
        <v>784</v>
      </c>
      <c r="D16" s="199" t="s">
        <v>785</v>
      </c>
    </row>
    <row r="17" spans="1:5" s="197" customFormat="1" ht="39.6">
      <c r="A17" s="144">
        <f t="shared" si="0"/>
        <v>11</v>
      </c>
      <c r="B17" s="200">
        <v>1</v>
      </c>
      <c r="C17" s="219" t="s">
        <v>786</v>
      </c>
      <c r="D17" s="199" t="s">
        <v>787</v>
      </c>
    </row>
    <row r="18" spans="1:5" s="197" customFormat="1" ht="52.8">
      <c r="A18" s="144">
        <f t="shared" si="0"/>
        <v>12</v>
      </c>
      <c r="B18" s="200">
        <v>1</v>
      </c>
      <c r="C18" s="219" t="s">
        <v>788</v>
      </c>
      <c r="D18" s="199" t="s">
        <v>789</v>
      </c>
    </row>
    <row r="19" spans="1:5" s="197" customFormat="1" ht="39.6">
      <c r="A19" s="144">
        <f t="shared" si="0"/>
        <v>13</v>
      </c>
      <c r="B19" s="200">
        <v>1</v>
      </c>
      <c r="C19" s="219" t="s">
        <v>790</v>
      </c>
      <c r="D19" s="199" t="s">
        <v>791</v>
      </c>
    </row>
    <row r="20" spans="1:5" s="197" customFormat="1" ht="52.8">
      <c r="A20" s="144">
        <f t="shared" si="0"/>
        <v>14</v>
      </c>
      <c r="B20" s="200">
        <v>1</v>
      </c>
      <c r="C20" s="219" t="s">
        <v>792</v>
      </c>
      <c r="D20" s="199" t="s">
        <v>793</v>
      </c>
    </row>
    <row r="21" spans="1:5" s="197" customFormat="1" ht="66">
      <c r="A21" s="144">
        <f t="shared" si="0"/>
        <v>15</v>
      </c>
      <c r="B21" s="200">
        <v>1</v>
      </c>
      <c r="C21" s="219" t="s">
        <v>794</v>
      </c>
      <c r="D21" s="199" t="s">
        <v>795</v>
      </c>
    </row>
    <row r="22" spans="1:5" s="197" customFormat="1">
      <c r="A22" s="144">
        <f t="shared" si="0"/>
        <v>16</v>
      </c>
      <c r="B22" s="200">
        <v>2</v>
      </c>
      <c r="C22" s="219" t="s">
        <v>796</v>
      </c>
      <c r="D22" s="199" t="s">
        <v>776</v>
      </c>
    </row>
    <row r="23" spans="1:5" s="197" customFormat="1" ht="52.8">
      <c r="A23" s="144">
        <f t="shared" si="0"/>
        <v>18</v>
      </c>
      <c r="B23" s="200">
        <v>16</v>
      </c>
      <c r="C23" s="219" t="s">
        <v>797</v>
      </c>
      <c r="D23" s="199" t="s">
        <v>798</v>
      </c>
    </row>
    <row r="24" spans="1:5">
      <c r="A24" s="144">
        <f t="shared" si="0"/>
        <v>34</v>
      </c>
      <c r="B24" s="144">
        <v>2</v>
      </c>
      <c r="C24" s="144" t="s">
        <v>127</v>
      </c>
      <c r="D24" s="145" t="s">
        <v>128</v>
      </c>
    </row>
    <row r="25" spans="1:5" ht="22.8">
      <c r="A25" s="144">
        <f t="shared" si="0"/>
        <v>36</v>
      </c>
      <c r="B25" s="144">
        <v>4</v>
      </c>
      <c r="C25" s="144" t="s">
        <v>129</v>
      </c>
      <c r="D25" s="145" t="s">
        <v>130</v>
      </c>
    </row>
    <row r="26" spans="1:5">
      <c r="A26" s="144">
        <f t="shared" si="0"/>
        <v>40</v>
      </c>
      <c r="B26" s="144">
        <v>1</v>
      </c>
      <c r="C26" s="144" t="s">
        <v>131</v>
      </c>
      <c r="D26" s="145" t="s">
        <v>132</v>
      </c>
    </row>
    <row r="27" spans="1:5">
      <c r="A27" s="144">
        <f t="shared" si="0"/>
        <v>41</v>
      </c>
      <c r="B27" s="157" t="s">
        <v>486</v>
      </c>
    </row>
    <row r="31" spans="1:5" ht="15">
      <c r="A31" s="155"/>
      <c r="B31" s="155"/>
    </row>
    <row r="32" spans="1:5" ht="15">
      <c r="A32" s="505" t="s">
        <v>1039</v>
      </c>
      <c r="B32" s="505"/>
      <c r="C32" s="505"/>
      <c r="D32" s="505"/>
      <c r="E32" s="505"/>
    </row>
    <row r="34" spans="1:5" s="196" customFormat="1" ht="15">
      <c r="A34" s="505" t="s">
        <v>1040</v>
      </c>
      <c r="B34" s="505"/>
      <c r="C34" s="505"/>
      <c r="D34" s="505"/>
      <c r="E34" s="505"/>
    </row>
    <row r="35" spans="1:5" ht="15">
      <c r="A35" s="151"/>
      <c r="B35" s="155"/>
      <c r="D35" s="175"/>
    </row>
    <row r="36" spans="1:5" s="155" customFormat="1" ht="24" customHeight="1">
      <c r="A36" s="152" t="s">
        <v>110</v>
      </c>
      <c r="B36" s="152" t="s">
        <v>111</v>
      </c>
      <c r="C36" s="153" t="s">
        <v>112</v>
      </c>
      <c r="D36" s="168" t="s">
        <v>113</v>
      </c>
    </row>
    <row r="37" spans="1:5">
      <c r="A37" s="144">
        <v>0</v>
      </c>
      <c r="B37" s="144">
        <v>1</v>
      </c>
      <c r="C37" s="198" t="s">
        <v>114</v>
      </c>
      <c r="D37" s="145" t="s">
        <v>115</v>
      </c>
    </row>
    <row r="38" spans="1:5">
      <c r="A38" s="144">
        <f t="shared" ref="A38:A49" si="1">A37+B37</f>
        <v>1</v>
      </c>
      <c r="B38" s="144">
        <v>1</v>
      </c>
      <c r="C38" s="198" t="s">
        <v>649</v>
      </c>
      <c r="D38" s="145" t="s">
        <v>948</v>
      </c>
    </row>
    <row r="39" spans="1:5">
      <c r="A39" s="144">
        <f t="shared" si="1"/>
        <v>2</v>
      </c>
      <c r="B39" s="144">
        <v>1</v>
      </c>
      <c r="C39" s="198" t="s">
        <v>527</v>
      </c>
      <c r="D39" s="145" t="s">
        <v>1036</v>
      </c>
    </row>
    <row r="40" spans="1:5" ht="39.6">
      <c r="A40" s="144">
        <f t="shared" si="1"/>
        <v>3</v>
      </c>
      <c r="B40" s="144">
        <v>2</v>
      </c>
      <c r="C40" s="10" t="s">
        <v>120</v>
      </c>
      <c r="D40" s="145" t="str">
        <f>DEC2HEX(A49-5)</f>
        <v>C</v>
      </c>
      <c r="E40" s="156"/>
    </row>
    <row r="41" spans="1:5" s="197" customFormat="1">
      <c r="A41" s="144">
        <f t="shared" si="1"/>
        <v>5</v>
      </c>
      <c r="B41" s="200">
        <v>1</v>
      </c>
      <c r="C41" s="10" t="s">
        <v>921</v>
      </c>
      <c r="D41" s="145" t="s">
        <v>922</v>
      </c>
    </row>
    <row r="42" spans="1:5">
      <c r="A42" s="144">
        <f t="shared" si="1"/>
        <v>6</v>
      </c>
      <c r="B42" s="144">
        <v>1</v>
      </c>
      <c r="C42" s="10" t="s">
        <v>1041</v>
      </c>
      <c r="D42" s="145" t="s">
        <v>1042</v>
      </c>
      <c r="E42" s="197"/>
    </row>
    <row r="43" spans="1:5">
      <c r="A43" s="144">
        <f t="shared" si="1"/>
        <v>7</v>
      </c>
      <c r="B43" s="144">
        <v>1</v>
      </c>
      <c r="C43" s="10" t="s">
        <v>347</v>
      </c>
      <c r="D43" s="145" t="s">
        <v>1033</v>
      </c>
      <c r="E43" s="197"/>
    </row>
    <row r="44" spans="1:5">
      <c r="A44" s="144">
        <f t="shared" si="1"/>
        <v>8</v>
      </c>
      <c r="B44" s="144">
        <v>1</v>
      </c>
      <c r="C44" s="10" t="s">
        <v>347</v>
      </c>
      <c r="E44" s="197"/>
    </row>
    <row r="45" spans="1:5">
      <c r="A45" s="144">
        <f t="shared" si="1"/>
        <v>9</v>
      </c>
      <c r="B45" s="144">
        <v>1</v>
      </c>
      <c r="C45" s="10" t="s">
        <v>347</v>
      </c>
      <c r="E45" s="197"/>
    </row>
    <row r="46" spans="1:5">
      <c r="A46" s="144">
        <f t="shared" si="1"/>
        <v>10</v>
      </c>
      <c r="B46" s="144">
        <v>2</v>
      </c>
      <c r="C46" s="144" t="s">
        <v>127</v>
      </c>
      <c r="D46" s="145" t="s">
        <v>128</v>
      </c>
    </row>
    <row r="47" spans="1:5" ht="22.8">
      <c r="A47" s="144">
        <f t="shared" si="1"/>
        <v>12</v>
      </c>
      <c r="B47" s="144">
        <v>4</v>
      </c>
      <c r="C47" s="144" t="s">
        <v>129</v>
      </c>
      <c r="D47" s="145" t="s">
        <v>130</v>
      </c>
    </row>
    <row r="48" spans="1:5">
      <c r="A48" s="144">
        <f t="shared" si="1"/>
        <v>16</v>
      </c>
      <c r="B48" s="144">
        <v>1</v>
      </c>
      <c r="C48" s="144" t="s">
        <v>131</v>
      </c>
      <c r="D48" s="145" t="s">
        <v>132</v>
      </c>
    </row>
    <row r="49" spans="1:2">
      <c r="A49" s="144">
        <f t="shared" si="1"/>
        <v>17</v>
      </c>
      <c r="B49" s="157" t="s">
        <v>486</v>
      </c>
    </row>
  </sheetData>
  <mergeCells count="4">
    <mergeCell ref="A2:E2"/>
    <mergeCell ref="A4:E4"/>
    <mergeCell ref="A32:E32"/>
    <mergeCell ref="A34:E34"/>
  </mergeCells>
  <pageMargins left="0.75" right="0.75" top="1" bottom="1" header="0.51111111111111096" footer="0.51111111111111096"/>
  <pageSetup orientation="portrait" horizontalDpi="300" verticalDpi="300"/>
  <headerFooter scaleWithDoc="0"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13"/>
  </sheetPr>
  <dimension ref="A1:E51"/>
  <sheetViews>
    <sheetView zoomScale="130" zoomScaleNormal="130" workbookViewId="0">
      <selection activeCell="D17" sqref="D17"/>
    </sheetView>
  </sheetViews>
  <sheetFormatPr defaultColWidth="9.109375" defaultRowHeight="13.2"/>
  <cols>
    <col min="1" max="1" width="21" style="144" customWidth="1"/>
    <col min="2" max="2" width="16.44140625" style="144" customWidth="1"/>
    <col min="3" max="3" width="28.21875" style="216" customWidth="1"/>
    <col min="4" max="4" width="38" style="156"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80</v>
      </c>
      <c r="B2" s="505"/>
      <c r="C2" s="505"/>
      <c r="D2" s="505"/>
      <c r="E2" s="505"/>
    </row>
    <row r="4" spans="1:5" s="196" customFormat="1" ht="15">
      <c r="A4" s="505" t="s">
        <v>1043</v>
      </c>
      <c r="B4" s="505"/>
      <c r="C4" s="505"/>
      <c r="D4" s="505"/>
      <c r="E4" s="505"/>
    </row>
    <row r="5" spans="1:5" ht="15">
      <c r="A5" s="151"/>
      <c r="B5" s="151"/>
      <c r="D5" s="167"/>
    </row>
    <row r="6" spans="1:5" s="155" customFormat="1" ht="30">
      <c r="A6" s="152" t="s">
        <v>110</v>
      </c>
      <c r="B6" s="152" t="s">
        <v>111</v>
      </c>
      <c r="C6" s="153" t="s">
        <v>112</v>
      </c>
      <c r="D6" s="154" t="s">
        <v>113</v>
      </c>
    </row>
    <row r="7" spans="1:5">
      <c r="A7" s="144">
        <v>0</v>
      </c>
      <c r="B7" s="144">
        <v>1</v>
      </c>
      <c r="C7" s="216" t="s">
        <v>114</v>
      </c>
      <c r="D7" s="156" t="s">
        <v>115</v>
      </c>
    </row>
    <row r="8" spans="1:5">
      <c r="A8" s="144">
        <f t="shared" ref="A8:A51" si="0">A7+B7</f>
        <v>1</v>
      </c>
      <c r="B8" s="144">
        <v>1</v>
      </c>
      <c r="C8" s="216" t="s">
        <v>770</v>
      </c>
      <c r="D8" s="156" t="s">
        <v>917</v>
      </c>
    </row>
    <row r="9" spans="1:5">
      <c r="A9" s="144">
        <f t="shared" si="0"/>
        <v>2</v>
      </c>
      <c r="B9" s="144">
        <v>1</v>
      </c>
      <c r="C9" s="216" t="s">
        <v>118</v>
      </c>
      <c r="D9" s="156" t="s">
        <v>55</v>
      </c>
    </row>
    <row r="10" spans="1:5" ht="39.6">
      <c r="A10" s="144">
        <f t="shared" si="0"/>
        <v>3</v>
      </c>
      <c r="B10" s="144">
        <v>2</v>
      </c>
      <c r="C10" s="10" t="s">
        <v>120</v>
      </c>
      <c r="D10" s="14" t="str">
        <f>DEC2HEX(A51-5)</f>
        <v>3B</v>
      </c>
      <c r="E10" s="156"/>
    </row>
    <row r="11" spans="1:5" s="197" customFormat="1" ht="52.8">
      <c r="A11" s="144">
        <f t="shared" si="0"/>
        <v>5</v>
      </c>
      <c r="B11" s="200">
        <v>1</v>
      </c>
      <c r="C11" s="200" t="s">
        <v>729</v>
      </c>
      <c r="D11" s="219" t="s">
        <v>730</v>
      </c>
      <c r="E11" s="197">
        <v>0</v>
      </c>
    </row>
    <row r="12" spans="1:5" s="197" customFormat="1">
      <c r="A12" s="144">
        <f t="shared" si="0"/>
        <v>6</v>
      </c>
      <c r="B12" s="200">
        <v>1</v>
      </c>
      <c r="C12" s="200" t="s">
        <v>731</v>
      </c>
      <c r="D12" s="200" t="s">
        <v>596</v>
      </c>
      <c r="E12" s="197">
        <f t="shared" ref="E12:E39" si="1">E11+B11</f>
        <v>1</v>
      </c>
    </row>
    <row r="13" spans="1:5" s="197" customFormat="1">
      <c r="A13" s="144">
        <f t="shared" si="0"/>
        <v>7</v>
      </c>
      <c r="B13" s="200">
        <v>2</v>
      </c>
      <c r="C13" s="200" t="s">
        <v>732</v>
      </c>
      <c r="D13" s="156" t="s">
        <v>733</v>
      </c>
      <c r="E13" s="197">
        <f t="shared" si="1"/>
        <v>2</v>
      </c>
    </row>
    <row r="14" spans="1:5" s="197" customFormat="1">
      <c r="A14" s="144">
        <f t="shared" si="0"/>
        <v>9</v>
      </c>
      <c r="B14" s="200">
        <v>1</v>
      </c>
      <c r="C14" s="200" t="s">
        <v>734</v>
      </c>
      <c r="D14" s="200" t="s">
        <v>596</v>
      </c>
      <c r="E14" s="197">
        <f t="shared" si="1"/>
        <v>4</v>
      </c>
    </row>
    <row r="15" spans="1:5" s="197" customFormat="1" ht="79.2">
      <c r="A15" s="144">
        <f t="shared" si="0"/>
        <v>10</v>
      </c>
      <c r="B15" s="200">
        <v>1</v>
      </c>
      <c r="C15" s="200" t="s">
        <v>735</v>
      </c>
      <c r="D15" s="219" t="s">
        <v>736</v>
      </c>
      <c r="E15" s="197">
        <f t="shared" si="1"/>
        <v>5</v>
      </c>
    </row>
    <row r="16" spans="1:5" s="197" customFormat="1">
      <c r="A16" s="144">
        <f t="shared" si="0"/>
        <v>11</v>
      </c>
      <c r="B16" s="200">
        <v>1</v>
      </c>
      <c r="C16" s="200" t="s">
        <v>737</v>
      </c>
      <c r="D16" s="200" t="s">
        <v>596</v>
      </c>
      <c r="E16" s="197">
        <f t="shared" si="1"/>
        <v>6</v>
      </c>
    </row>
    <row r="17" spans="1:5" s="197" customFormat="1" ht="79.2">
      <c r="A17" s="144">
        <f t="shared" si="0"/>
        <v>12</v>
      </c>
      <c r="B17" s="200">
        <v>1</v>
      </c>
      <c r="C17" s="200" t="s">
        <v>738</v>
      </c>
      <c r="D17" s="219" t="s">
        <v>739</v>
      </c>
      <c r="E17" s="197">
        <f t="shared" si="1"/>
        <v>7</v>
      </c>
    </row>
    <row r="18" spans="1:5" s="197" customFormat="1">
      <c r="A18" s="144">
        <f t="shared" si="0"/>
        <v>13</v>
      </c>
      <c r="B18" s="200">
        <v>1</v>
      </c>
      <c r="C18" s="200" t="s">
        <v>740</v>
      </c>
      <c r="D18" s="200" t="s">
        <v>596</v>
      </c>
      <c r="E18" s="197">
        <f t="shared" si="1"/>
        <v>8</v>
      </c>
    </row>
    <row r="19" spans="1:5" s="197" customFormat="1">
      <c r="A19" s="144">
        <f t="shared" si="0"/>
        <v>14</v>
      </c>
      <c r="B19" s="200">
        <v>1</v>
      </c>
      <c r="C19" s="200" t="s">
        <v>741</v>
      </c>
      <c r="D19" s="219" t="s">
        <v>742</v>
      </c>
      <c r="E19" s="197">
        <f t="shared" si="1"/>
        <v>9</v>
      </c>
    </row>
    <row r="20" spans="1:5" s="197" customFormat="1">
      <c r="A20" s="144">
        <f t="shared" si="0"/>
        <v>15</v>
      </c>
      <c r="B20" s="200">
        <v>1</v>
      </c>
      <c r="C20" s="200" t="s">
        <v>743</v>
      </c>
      <c r="D20" s="200" t="s">
        <v>596</v>
      </c>
      <c r="E20" s="197">
        <f t="shared" si="1"/>
        <v>10</v>
      </c>
    </row>
    <row r="21" spans="1:5" s="197" customFormat="1" ht="274.05" customHeight="1">
      <c r="A21" s="144">
        <f t="shared" si="0"/>
        <v>16</v>
      </c>
      <c r="B21" s="200">
        <v>1</v>
      </c>
      <c r="C21" s="200" t="s">
        <v>747</v>
      </c>
      <c r="D21" s="218" t="s">
        <v>1011</v>
      </c>
      <c r="E21" s="197">
        <f t="shared" si="1"/>
        <v>11</v>
      </c>
    </row>
    <row r="22" spans="1:5" s="197" customFormat="1">
      <c r="A22" s="144">
        <f t="shared" si="0"/>
        <v>17</v>
      </c>
      <c r="B22" s="200">
        <v>1</v>
      </c>
      <c r="C22" s="200" t="s">
        <v>749</v>
      </c>
      <c r="D22" s="200" t="s">
        <v>596</v>
      </c>
      <c r="E22" s="197">
        <f t="shared" si="1"/>
        <v>12</v>
      </c>
    </row>
    <row r="23" spans="1:5" s="197" customFormat="1" ht="92.4">
      <c r="A23" s="144">
        <f t="shared" si="0"/>
        <v>18</v>
      </c>
      <c r="B23" s="200">
        <v>1</v>
      </c>
      <c r="C23" s="200" t="s">
        <v>750</v>
      </c>
      <c r="D23" s="219" t="s">
        <v>1044</v>
      </c>
      <c r="E23" s="197">
        <f t="shared" si="1"/>
        <v>13</v>
      </c>
    </row>
    <row r="24" spans="1:5" s="197" customFormat="1">
      <c r="A24" s="144">
        <f t="shared" si="0"/>
        <v>19</v>
      </c>
      <c r="B24" s="200">
        <v>1</v>
      </c>
      <c r="C24" s="200" t="s">
        <v>752</v>
      </c>
      <c r="D24" s="200" t="s">
        <v>596</v>
      </c>
      <c r="E24" s="197">
        <f t="shared" si="1"/>
        <v>14</v>
      </c>
    </row>
    <row r="25" spans="1:5" s="197" customFormat="1" ht="26.4">
      <c r="A25" s="144">
        <f t="shared" si="0"/>
        <v>20</v>
      </c>
      <c r="B25" s="200">
        <v>1</v>
      </c>
      <c r="C25" s="220" t="s">
        <v>407</v>
      </c>
      <c r="D25" s="221" t="s">
        <v>753</v>
      </c>
      <c r="E25" s="197">
        <f t="shared" si="1"/>
        <v>15</v>
      </c>
    </row>
    <row r="26" spans="1:5" s="197" customFormat="1">
      <c r="A26" s="144">
        <f t="shared" si="0"/>
        <v>21</v>
      </c>
      <c r="B26" s="200">
        <v>1</v>
      </c>
      <c r="C26" s="220" t="s">
        <v>754</v>
      </c>
      <c r="D26" s="200" t="s">
        <v>596</v>
      </c>
      <c r="E26" s="197">
        <f t="shared" si="1"/>
        <v>16</v>
      </c>
    </row>
    <row r="27" spans="1:5" s="197" customFormat="1" ht="26.4">
      <c r="A27" s="144">
        <f t="shared" si="0"/>
        <v>22</v>
      </c>
      <c r="B27" s="200">
        <v>1</v>
      </c>
      <c r="C27" s="220" t="s">
        <v>409</v>
      </c>
      <c r="D27" s="221" t="s">
        <v>753</v>
      </c>
      <c r="E27" s="197">
        <f t="shared" si="1"/>
        <v>17</v>
      </c>
    </row>
    <row r="28" spans="1:5" s="197" customFormat="1">
      <c r="A28" s="144">
        <f t="shared" si="0"/>
        <v>23</v>
      </c>
      <c r="B28" s="200">
        <v>1</v>
      </c>
      <c r="C28" s="220" t="s">
        <v>755</v>
      </c>
      <c r="D28" s="200" t="s">
        <v>596</v>
      </c>
      <c r="E28" s="197">
        <f t="shared" si="1"/>
        <v>18</v>
      </c>
    </row>
    <row r="29" spans="1:5" s="197" customFormat="1" ht="26.4">
      <c r="A29" s="144">
        <f t="shared" si="0"/>
        <v>24</v>
      </c>
      <c r="B29" s="200">
        <v>1</v>
      </c>
      <c r="C29" s="220" t="s">
        <v>410</v>
      </c>
      <c r="D29" s="221" t="s">
        <v>753</v>
      </c>
      <c r="E29" s="197">
        <f t="shared" si="1"/>
        <v>19</v>
      </c>
    </row>
    <row r="30" spans="1:5" s="197" customFormat="1">
      <c r="A30" s="144">
        <f t="shared" si="0"/>
        <v>25</v>
      </c>
      <c r="B30" s="200">
        <v>1</v>
      </c>
      <c r="C30" s="220" t="s">
        <v>756</v>
      </c>
      <c r="D30" s="200" t="s">
        <v>596</v>
      </c>
      <c r="E30" s="197">
        <f t="shared" si="1"/>
        <v>20</v>
      </c>
    </row>
    <row r="31" spans="1:5" s="197" customFormat="1" ht="26.4">
      <c r="A31" s="144">
        <f t="shared" si="0"/>
        <v>26</v>
      </c>
      <c r="B31" s="200">
        <v>1</v>
      </c>
      <c r="C31" s="220" t="s">
        <v>411</v>
      </c>
      <c r="D31" s="221" t="s">
        <v>753</v>
      </c>
      <c r="E31" s="197">
        <f t="shared" si="1"/>
        <v>21</v>
      </c>
    </row>
    <row r="32" spans="1:5" s="197" customFormat="1">
      <c r="A32" s="144">
        <f t="shared" si="0"/>
        <v>27</v>
      </c>
      <c r="B32" s="200">
        <v>1</v>
      </c>
      <c r="C32" s="220" t="s">
        <v>757</v>
      </c>
      <c r="D32" s="200" t="s">
        <v>596</v>
      </c>
      <c r="E32" s="197">
        <f t="shared" si="1"/>
        <v>22</v>
      </c>
    </row>
    <row r="33" spans="1:5" s="197" customFormat="1" ht="26.4">
      <c r="A33" s="144">
        <f t="shared" si="0"/>
        <v>28</v>
      </c>
      <c r="B33" s="200">
        <v>4</v>
      </c>
      <c r="C33" s="220" t="s">
        <v>412</v>
      </c>
      <c r="D33" s="219" t="s">
        <v>758</v>
      </c>
      <c r="E33" s="197">
        <f t="shared" si="1"/>
        <v>23</v>
      </c>
    </row>
    <row r="34" spans="1:5" s="197" customFormat="1">
      <c r="A34" s="144">
        <f t="shared" si="0"/>
        <v>32</v>
      </c>
      <c r="B34" s="200">
        <v>1</v>
      </c>
      <c r="C34" s="220" t="s">
        <v>759</v>
      </c>
      <c r="D34" s="200" t="s">
        <v>596</v>
      </c>
      <c r="E34" s="197">
        <f t="shared" si="1"/>
        <v>27</v>
      </c>
    </row>
    <row r="35" spans="1:5" s="197" customFormat="1" ht="26.4">
      <c r="A35" s="144">
        <f t="shared" si="0"/>
        <v>33</v>
      </c>
      <c r="B35" s="200">
        <v>4</v>
      </c>
      <c r="C35" s="220" t="s">
        <v>414</v>
      </c>
      <c r="D35" s="219" t="s">
        <v>758</v>
      </c>
      <c r="E35" s="197">
        <f t="shared" si="1"/>
        <v>28</v>
      </c>
    </row>
    <row r="36" spans="1:5" s="197" customFormat="1">
      <c r="A36" s="144">
        <f t="shared" si="0"/>
        <v>37</v>
      </c>
      <c r="B36" s="200">
        <v>1</v>
      </c>
      <c r="C36" s="220" t="s">
        <v>760</v>
      </c>
      <c r="D36" s="200" t="s">
        <v>596</v>
      </c>
      <c r="E36" s="197">
        <f t="shared" si="1"/>
        <v>32</v>
      </c>
    </row>
    <row r="37" spans="1:5" s="197" customFormat="1">
      <c r="A37" s="144">
        <f t="shared" si="0"/>
        <v>38</v>
      </c>
      <c r="B37" s="200">
        <v>1</v>
      </c>
      <c r="C37" s="220" t="s">
        <v>415</v>
      </c>
      <c r="D37" s="219" t="s">
        <v>742</v>
      </c>
      <c r="E37" s="197">
        <f t="shared" si="1"/>
        <v>33</v>
      </c>
    </row>
    <row r="38" spans="1:5" s="197" customFormat="1">
      <c r="A38" s="144">
        <f t="shared" si="0"/>
        <v>39</v>
      </c>
      <c r="B38" s="200">
        <v>1</v>
      </c>
      <c r="C38" s="220" t="s">
        <v>761</v>
      </c>
      <c r="D38" s="200" t="s">
        <v>596</v>
      </c>
      <c r="E38" s="197">
        <f t="shared" si="1"/>
        <v>34</v>
      </c>
    </row>
    <row r="39" spans="1:5" s="197" customFormat="1">
      <c r="A39" s="144">
        <f t="shared" si="0"/>
        <v>40</v>
      </c>
      <c r="B39" s="200">
        <v>1</v>
      </c>
      <c r="C39" s="220" t="s">
        <v>762</v>
      </c>
      <c r="D39" s="200" t="s">
        <v>347</v>
      </c>
      <c r="E39" s="197">
        <f t="shared" si="1"/>
        <v>35</v>
      </c>
    </row>
    <row r="40" spans="1:5" s="197" customFormat="1" ht="255.75" customHeight="1">
      <c r="A40" s="144">
        <f t="shared" si="0"/>
        <v>41</v>
      </c>
      <c r="B40" s="200">
        <v>2</v>
      </c>
      <c r="C40" s="200" t="s">
        <v>652</v>
      </c>
      <c r="D40" s="219" t="s">
        <v>653</v>
      </c>
    </row>
    <row r="41" spans="1:5" s="197" customFormat="1" ht="105.6">
      <c r="A41" s="144">
        <f t="shared" si="0"/>
        <v>43</v>
      </c>
      <c r="B41" s="200">
        <v>2</v>
      </c>
      <c r="C41" s="222" t="s">
        <v>654</v>
      </c>
      <c r="D41" s="219" t="s">
        <v>655</v>
      </c>
    </row>
    <row r="42" spans="1:5" s="197" customFormat="1" ht="105.6">
      <c r="A42" s="144">
        <f t="shared" si="0"/>
        <v>45</v>
      </c>
      <c r="B42" s="200">
        <v>2</v>
      </c>
      <c r="C42" s="222" t="s">
        <v>656</v>
      </c>
      <c r="D42" s="219" t="s">
        <v>657</v>
      </c>
    </row>
    <row r="43" spans="1:5" s="197" customFormat="1" ht="105.6">
      <c r="A43" s="144">
        <f t="shared" si="0"/>
        <v>47</v>
      </c>
      <c r="B43" s="200">
        <v>2</v>
      </c>
      <c r="C43" s="222" t="s">
        <v>658</v>
      </c>
      <c r="D43" s="219" t="s">
        <v>659</v>
      </c>
    </row>
    <row r="44" spans="1:5" s="197" customFormat="1" ht="105.6">
      <c r="A44" s="144">
        <f t="shared" si="0"/>
        <v>49</v>
      </c>
      <c r="B44" s="200">
        <v>2</v>
      </c>
      <c r="C44" s="222" t="s">
        <v>660</v>
      </c>
      <c r="D44" s="219" t="s">
        <v>661</v>
      </c>
    </row>
    <row r="45" spans="1:5" s="197" customFormat="1" ht="105.6">
      <c r="A45" s="144">
        <f t="shared" si="0"/>
        <v>51</v>
      </c>
      <c r="B45" s="200">
        <v>2</v>
      </c>
      <c r="C45" s="222" t="s">
        <v>662</v>
      </c>
      <c r="D45" s="219" t="s">
        <v>663</v>
      </c>
    </row>
    <row r="46" spans="1:5" s="197" customFormat="1" ht="110.25" customHeight="1">
      <c r="A46" s="144">
        <f t="shared" si="0"/>
        <v>53</v>
      </c>
      <c r="B46" s="200">
        <v>2</v>
      </c>
      <c r="C46" s="222" t="s">
        <v>664</v>
      </c>
      <c r="D46" s="219" t="s">
        <v>665</v>
      </c>
    </row>
    <row r="47" spans="1:5" s="197" customFormat="1" ht="111.75" customHeight="1">
      <c r="A47" s="144">
        <f t="shared" si="0"/>
        <v>55</v>
      </c>
      <c r="B47" s="200">
        <v>2</v>
      </c>
      <c r="C47" s="222" t="s">
        <v>1045</v>
      </c>
      <c r="D47" s="219" t="s">
        <v>1046</v>
      </c>
    </row>
    <row r="48" spans="1:5" ht="22.8">
      <c r="A48" s="144">
        <f t="shared" si="0"/>
        <v>57</v>
      </c>
      <c r="B48" s="144">
        <v>2</v>
      </c>
      <c r="C48" s="144" t="s">
        <v>127</v>
      </c>
      <c r="D48" s="156" t="s">
        <v>128</v>
      </c>
    </row>
    <row r="49" spans="1:4" ht="22.8">
      <c r="A49" s="144">
        <f t="shared" si="0"/>
        <v>59</v>
      </c>
      <c r="B49" s="144">
        <v>4</v>
      </c>
      <c r="C49" s="144" t="s">
        <v>129</v>
      </c>
      <c r="D49" s="156" t="s">
        <v>130</v>
      </c>
    </row>
    <row r="50" spans="1:4">
      <c r="A50" s="144">
        <f t="shared" si="0"/>
        <v>63</v>
      </c>
      <c r="B50" s="144">
        <v>1</v>
      </c>
      <c r="C50" s="144" t="s">
        <v>131</v>
      </c>
      <c r="D50" s="156" t="s">
        <v>132</v>
      </c>
    </row>
    <row r="51" spans="1:4">
      <c r="A51" s="144">
        <f t="shared" si="0"/>
        <v>64</v>
      </c>
      <c r="B51" s="157" t="s">
        <v>486</v>
      </c>
    </row>
  </sheetData>
  <mergeCells count="2">
    <mergeCell ref="A2:E2"/>
    <mergeCell ref="A4:E4"/>
  </mergeCells>
  <pageMargins left="0.75" right="0.75" top="1" bottom="1" header="0.51111111111111096" footer="0.51111111111111096"/>
  <pageSetup orientation="portrait" horizontalDpi="300" verticalDpi="300"/>
  <headerFooter scaleWithDoc="0"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3"/>
  <sheetViews>
    <sheetView topLeftCell="A36" zoomScale="115" zoomScaleNormal="115" workbookViewId="0">
      <selection activeCell="E37" sqref="E37"/>
    </sheetView>
  </sheetViews>
  <sheetFormatPr defaultColWidth="9.109375" defaultRowHeight="13.2"/>
  <cols>
    <col min="1" max="1" width="21" style="144" customWidth="1"/>
    <col min="2" max="2" width="16.44140625" style="144" customWidth="1"/>
    <col min="3" max="3" width="28.21875" style="198" customWidth="1"/>
    <col min="4" max="4" width="44.44140625" style="145" customWidth="1"/>
    <col min="5" max="5" width="28.664062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1047</v>
      </c>
      <c r="B2" s="505"/>
      <c r="C2" s="505"/>
      <c r="D2" s="505"/>
      <c r="E2" s="505"/>
    </row>
    <row r="4" spans="1:5" s="196" customFormat="1" ht="15">
      <c r="A4" s="505" t="s">
        <v>1048</v>
      </c>
      <c r="B4" s="505"/>
      <c r="C4" s="505"/>
      <c r="D4" s="505"/>
      <c r="E4" s="505"/>
    </row>
    <row r="5" spans="1:5" ht="15">
      <c r="A5" s="151"/>
      <c r="B5" s="155"/>
      <c r="D5" s="175"/>
    </row>
    <row r="6" spans="1:5" s="155" customFormat="1" ht="30">
      <c r="A6" s="152" t="s">
        <v>110</v>
      </c>
      <c r="B6" s="152" t="s">
        <v>111</v>
      </c>
      <c r="C6" s="153" t="s">
        <v>112</v>
      </c>
      <c r="D6" s="168" t="s">
        <v>113</v>
      </c>
    </row>
    <row r="7" spans="1:5">
      <c r="A7" s="144">
        <v>0</v>
      </c>
      <c r="B7" s="144">
        <v>1</v>
      </c>
      <c r="C7" s="198" t="s">
        <v>114</v>
      </c>
      <c r="D7" s="145" t="s">
        <v>115</v>
      </c>
      <c r="E7" s="146" t="s">
        <v>1049</v>
      </c>
    </row>
    <row r="8" spans="1:5">
      <c r="A8" s="144">
        <f t="shared" ref="A8:A20" si="0">A7+B7</f>
        <v>1</v>
      </c>
      <c r="B8" s="144">
        <v>1</v>
      </c>
      <c r="C8" s="198" t="s">
        <v>770</v>
      </c>
      <c r="D8" s="145" t="s">
        <v>917</v>
      </c>
    </row>
    <row r="9" spans="1:5">
      <c r="A9" s="144">
        <f t="shared" si="0"/>
        <v>2</v>
      </c>
      <c r="B9" s="144">
        <v>1</v>
      </c>
      <c r="C9" s="198" t="s">
        <v>527</v>
      </c>
      <c r="D9" s="145" t="s">
        <v>1050</v>
      </c>
    </row>
    <row r="10" spans="1:5" ht="39.6">
      <c r="A10" s="144">
        <f t="shared" si="0"/>
        <v>3</v>
      </c>
      <c r="B10" s="144">
        <v>2</v>
      </c>
      <c r="C10" s="10" t="s">
        <v>120</v>
      </c>
      <c r="D10" s="145" t="str">
        <f>DEC2HEX(A20-5)</f>
        <v>E</v>
      </c>
      <c r="E10" s="156"/>
    </row>
    <row r="11" spans="1:5" s="197" customFormat="1">
      <c r="A11" s="144">
        <f t="shared" si="0"/>
        <v>5</v>
      </c>
      <c r="B11" s="200">
        <v>2</v>
      </c>
      <c r="C11" s="200" t="s">
        <v>995</v>
      </c>
      <c r="D11" s="201" t="s">
        <v>1009</v>
      </c>
    </row>
    <row r="12" spans="1:5">
      <c r="A12" s="144">
        <f t="shared" si="0"/>
        <v>7</v>
      </c>
      <c r="B12" s="144">
        <v>1</v>
      </c>
      <c r="C12" s="10" t="s">
        <v>1051</v>
      </c>
      <c r="D12" s="145" t="s">
        <v>1052</v>
      </c>
    </row>
    <row r="13" spans="1:5">
      <c r="A13" s="144">
        <f t="shared" si="0"/>
        <v>8</v>
      </c>
      <c r="B13" s="144">
        <v>1</v>
      </c>
      <c r="C13" s="10" t="s">
        <v>1031</v>
      </c>
      <c r="D13" s="145" t="s">
        <v>1053</v>
      </c>
    </row>
    <row r="14" spans="1:5">
      <c r="A14" s="144">
        <f t="shared" si="0"/>
        <v>9</v>
      </c>
      <c r="B14" s="144">
        <v>1</v>
      </c>
      <c r="C14" s="10" t="s">
        <v>347</v>
      </c>
      <c r="D14" s="145" t="s">
        <v>1033</v>
      </c>
    </row>
    <row r="15" spans="1:5">
      <c r="A15" s="144">
        <f t="shared" si="0"/>
        <v>10</v>
      </c>
      <c r="B15" s="144">
        <v>1</v>
      </c>
      <c r="C15" s="10" t="s">
        <v>347</v>
      </c>
    </row>
    <row r="16" spans="1:5">
      <c r="A16" s="144">
        <f t="shared" si="0"/>
        <v>11</v>
      </c>
      <c r="B16" s="144">
        <v>1</v>
      </c>
      <c r="C16" s="10" t="s">
        <v>347</v>
      </c>
    </row>
    <row r="17" spans="1:5">
      <c r="A17" s="144">
        <f t="shared" si="0"/>
        <v>12</v>
      </c>
      <c r="B17" s="144">
        <v>2</v>
      </c>
      <c r="C17" s="144" t="s">
        <v>127</v>
      </c>
      <c r="D17" s="145" t="s">
        <v>128</v>
      </c>
    </row>
    <row r="18" spans="1:5" ht="22.8">
      <c r="A18" s="144">
        <f t="shared" si="0"/>
        <v>14</v>
      </c>
      <c r="B18" s="144">
        <v>4</v>
      </c>
      <c r="C18" s="144" t="s">
        <v>129</v>
      </c>
      <c r="D18" s="145" t="s">
        <v>130</v>
      </c>
    </row>
    <row r="19" spans="1:5">
      <c r="A19" s="144">
        <f t="shared" si="0"/>
        <v>18</v>
      </c>
      <c r="B19" s="144">
        <v>1</v>
      </c>
      <c r="C19" s="144" t="s">
        <v>131</v>
      </c>
      <c r="D19" s="145" t="s">
        <v>132</v>
      </c>
    </row>
    <row r="20" spans="1:5">
      <c r="A20" s="144">
        <f t="shared" si="0"/>
        <v>19</v>
      </c>
      <c r="B20" s="157" t="s">
        <v>486</v>
      </c>
    </row>
    <row r="24" spans="1:5" ht="15">
      <c r="A24" s="155"/>
      <c r="B24" s="155"/>
    </row>
    <row r="25" spans="1:5" ht="15">
      <c r="A25" s="505" t="s">
        <v>1054</v>
      </c>
      <c r="B25" s="505"/>
      <c r="C25" s="505"/>
      <c r="D25" s="505"/>
      <c r="E25" s="505"/>
    </row>
    <row r="27" spans="1:5" s="196" customFormat="1" ht="15">
      <c r="A27" s="505" t="s">
        <v>1055</v>
      </c>
      <c r="B27" s="505"/>
      <c r="C27" s="505"/>
      <c r="D27" s="505"/>
      <c r="E27" s="505"/>
    </row>
    <row r="28" spans="1:5" ht="15">
      <c r="A28" s="151"/>
      <c r="B28" s="155"/>
      <c r="D28" s="175"/>
    </row>
    <row r="29" spans="1:5" s="155" customFormat="1" ht="30">
      <c r="A29" s="152" t="s">
        <v>110</v>
      </c>
      <c r="B29" s="152" t="s">
        <v>111</v>
      </c>
      <c r="C29" s="153" t="s">
        <v>112</v>
      </c>
      <c r="D29" s="168" t="s">
        <v>113</v>
      </c>
    </row>
    <row r="30" spans="1:5">
      <c r="A30" s="144">
        <v>0</v>
      </c>
      <c r="B30" s="144">
        <v>1</v>
      </c>
      <c r="C30" s="198" t="s">
        <v>114</v>
      </c>
      <c r="D30" s="145" t="s">
        <v>115</v>
      </c>
      <c r="E30" s="146" t="s">
        <v>1056</v>
      </c>
    </row>
    <row r="31" spans="1:5">
      <c r="A31" s="144">
        <f t="shared" ref="A31:A43" si="1">A30+B30</f>
        <v>1</v>
      </c>
      <c r="B31" s="144">
        <v>1</v>
      </c>
      <c r="C31" s="198" t="s">
        <v>645</v>
      </c>
      <c r="D31" s="145" t="s">
        <v>1008</v>
      </c>
    </row>
    <row r="32" spans="1:5">
      <c r="A32" s="144">
        <f t="shared" si="1"/>
        <v>2</v>
      </c>
      <c r="B32" s="144">
        <v>1</v>
      </c>
      <c r="C32" s="198" t="s">
        <v>527</v>
      </c>
      <c r="D32" s="145" t="s">
        <v>1050</v>
      </c>
    </row>
    <row r="33" spans="1:5" ht="39.6">
      <c r="A33" s="144">
        <f t="shared" si="1"/>
        <v>3</v>
      </c>
      <c r="B33" s="144">
        <v>2</v>
      </c>
      <c r="C33" s="10" t="s">
        <v>120</v>
      </c>
      <c r="D33" s="145" t="str">
        <f>DEC2HEX(A43-5)</f>
        <v>1E</v>
      </c>
      <c r="E33" s="156"/>
    </row>
    <row r="34" spans="1:5" s="197" customFormat="1">
      <c r="A34" s="144">
        <f t="shared" si="1"/>
        <v>5</v>
      </c>
      <c r="B34" s="200">
        <v>2</v>
      </c>
      <c r="C34" s="200" t="s">
        <v>995</v>
      </c>
      <c r="D34" s="201" t="s">
        <v>1009</v>
      </c>
    </row>
    <row r="35" spans="1:5" s="197" customFormat="1">
      <c r="A35" s="144">
        <f t="shared" si="1"/>
        <v>7</v>
      </c>
      <c r="B35" s="144">
        <v>1</v>
      </c>
      <c r="C35" s="10" t="s">
        <v>1057</v>
      </c>
      <c r="D35" s="145" t="s">
        <v>1058</v>
      </c>
    </row>
    <row r="36" spans="1:5" s="197" customFormat="1" ht="132">
      <c r="A36" s="144">
        <f t="shared" si="1"/>
        <v>8</v>
      </c>
      <c r="B36" s="200">
        <v>1</v>
      </c>
      <c r="C36" s="217" t="s">
        <v>820</v>
      </c>
      <c r="D36" s="199" t="s">
        <v>385</v>
      </c>
    </row>
    <row r="37" spans="1:5" s="197" customFormat="1" ht="276.75" customHeight="1">
      <c r="A37" s="144">
        <f t="shared" si="1"/>
        <v>9</v>
      </c>
      <c r="B37" s="200">
        <v>1</v>
      </c>
      <c r="C37" s="200" t="s">
        <v>747</v>
      </c>
      <c r="D37" s="218" t="s">
        <v>1011</v>
      </c>
    </row>
    <row r="38" spans="1:5" s="197" customFormat="1">
      <c r="A38" s="144">
        <f t="shared" si="1"/>
        <v>10</v>
      </c>
      <c r="B38" s="200">
        <v>2</v>
      </c>
      <c r="C38" s="200" t="s">
        <v>121</v>
      </c>
      <c r="D38" s="201" t="s">
        <v>766</v>
      </c>
    </row>
    <row r="39" spans="1:5" s="197" customFormat="1">
      <c r="A39" s="144">
        <f t="shared" si="1"/>
        <v>12</v>
      </c>
      <c r="B39" s="200">
        <v>16</v>
      </c>
      <c r="C39" s="200" t="s">
        <v>1059</v>
      </c>
      <c r="D39" s="201" t="s">
        <v>1060</v>
      </c>
    </row>
    <row r="40" spans="1:5">
      <c r="A40" s="144">
        <f t="shared" si="1"/>
        <v>28</v>
      </c>
      <c r="B40" s="144">
        <v>2</v>
      </c>
      <c r="C40" s="144" t="s">
        <v>127</v>
      </c>
      <c r="D40" s="145" t="s">
        <v>128</v>
      </c>
    </row>
    <row r="41" spans="1:5" ht="22.8">
      <c r="A41" s="144">
        <f t="shared" si="1"/>
        <v>30</v>
      </c>
      <c r="B41" s="144">
        <v>4</v>
      </c>
      <c r="C41" s="144" t="s">
        <v>129</v>
      </c>
      <c r="D41" s="145" t="s">
        <v>1022</v>
      </c>
    </row>
    <row r="42" spans="1:5">
      <c r="A42" s="144">
        <f t="shared" si="1"/>
        <v>34</v>
      </c>
      <c r="B42" s="144">
        <v>1</v>
      </c>
      <c r="C42" s="144" t="s">
        <v>131</v>
      </c>
      <c r="D42" s="145" t="s">
        <v>132</v>
      </c>
    </row>
    <row r="43" spans="1:5">
      <c r="A43" s="144">
        <f t="shared" si="1"/>
        <v>35</v>
      </c>
      <c r="B43" s="157" t="s">
        <v>486</v>
      </c>
    </row>
  </sheetData>
  <mergeCells count="4">
    <mergeCell ref="A2:E2"/>
    <mergeCell ref="A4:E4"/>
    <mergeCell ref="A25:E25"/>
    <mergeCell ref="A27:E27"/>
  </mergeCells>
  <pageMargins left="0.75" right="0.75" top="1" bottom="1" header="0.51111111111111096" footer="0.51111111111111096"/>
  <pageSetup orientation="portrait" horizontalDpi="300" verticalDpi="300"/>
  <headerFooter scaleWithDoc="0"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2"/>
  <sheetViews>
    <sheetView topLeftCell="A3" zoomScale="115" zoomScaleNormal="115" workbookViewId="0">
      <selection activeCell="F14" sqref="F14"/>
    </sheetView>
  </sheetViews>
  <sheetFormatPr defaultColWidth="9.109375" defaultRowHeight="13.2"/>
  <cols>
    <col min="1" max="1" width="21" style="144" customWidth="1"/>
    <col min="2" max="2" width="16.44140625" style="144" customWidth="1"/>
    <col min="3" max="3" width="28.21875" style="216" customWidth="1"/>
    <col min="4" max="4" width="26.21875"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1061</v>
      </c>
      <c r="B2" s="505"/>
      <c r="C2" s="505"/>
      <c r="D2" s="505"/>
      <c r="E2" s="505"/>
    </row>
    <row r="3" spans="1:5" ht="15">
      <c r="A3" s="151"/>
      <c r="B3" s="151"/>
      <c r="C3" s="151"/>
      <c r="D3" s="151"/>
      <c r="E3" s="151"/>
    </row>
    <row r="4" spans="1:5" ht="15">
      <c r="A4" s="505" t="s">
        <v>1062</v>
      </c>
      <c r="B4" s="505"/>
      <c r="C4" s="505"/>
      <c r="D4" s="505"/>
      <c r="E4" s="505"/>
    </row>
    <row r="5" spans="1:5" ht="15">
      <c r="A5" s="151"/>
      <c r="B5" s="155"/>
      <c r="C5" s="198"/>
      <c r="D5" s="175"/>
    </row>
    <row r="6" spans="1:5" s="169" customFormat="1" ht="30">
      <c r="A6" s="152" t="s">
        <v>110</v>
      </c>
      <c r="B6" s="152" t="s">
        <v>111</v>
      </c>
      <c r="C6" s="153" t="s">
        <v>112</v>
      </c>
      <c r="D6" s="168" t="s">
        <v>113</v>
      </c>
      <c r="E6" s="155"/>
    </row>
    <row r="7" spans="1:5">
      <c r="A7" s="144">
        <v>0</v>
      </c>
      <c r="B7" s="144">
        <v>1</v>
      </c>
      <c r="C7" s="198" t="s">
        <v>114</v>
      </c>
      <c r="D7" s="145" t="s">
        <v>115</v>
      </c>
    </row>
    <row r="8" spans="1:5">
      <c r="A8" s="144">
        <f t="shared" ref="A8:A21" si="0">A7+B7</f>
        <v>1</v>
      </c>
      <c r="B8" s="144">
        <v>1</v>
      </c>
      <c r="C8" s="198" t="s">
        <v>770</v>
      </c>
      <c r="D8" s="145" t="s">
        <v>917</v>
      </c>
    </row>
    <row r="9" spans="1:5">
      <c r="A9" s="144">
        <f t="shared" si="0"/>
        <v>2</v>
      </c>
      <c r="B9" s="144">
        <v>1</v>
      </c>
      <c r="C9" s="198" t="s">
        <v>527</v>
      </c>
      <c r="D9" s="145" t="s">
        <v>1050</v>
      </c>
    </row>
    <row r="10" spans="1:5" ht="39.6">
      <c r="A10" s="144">
        <f t="shared" si="0"/>
        <v>3</v>
      </c>
      <c r="B10" s="144">
        <v>2</v>
      </c>
      <c r="C10" s="10" t="s">
        <v>120</v>
      </c>
      <c r="D10" s="145" t="str">
        <f>DEC2HEX(A21-5)</f>
        <v>1F</v>
      </c>
      <c r="E10" s="156"/>
    </row>
    <row r="11" spans="1:5">
      <c r="A11" s="144">
        <f t="shared" si="0"/>
        <v>5</v>
      </c>
      <c r="B11" s="200">
        <v>2</v>
      </c>
      <c r="C11" s="200" t="s">
        <v>995</v>
      </c>
      <c r="D11" s="201" t="s">
        <v>1009</v>
      </c>
      <c r="E11" s="197"/>
    </row>
    <row r="12" spans="1:5">
      <c r="A12" s="144">
        <f t="shared" si="0"/>
        <v>7</v>
      </c>
      <c r="B12" s="144">
        <v>1</v>
      </c>
      <c r="C12" s="10" t="s">
        <v>1051</v>
      </c>
      <c r="D12" s="145" t="s">
        <v>1052</v>
      </c>
    </row>
    <row r="13" spans="1:5">
      <c r="A13" s="144">
        <f t="shared" si="0"/>
        <v>8</v>
      </c>
      <c r="B13" s="144">
        <v>1</v>
      </c>
      <c r="C13" s="10" t="s">
        <v>1037</v>
      </c>
      <c r="D13" s="145" t="s">
        <v>1063</v>
      </c>
    </row>
    <row r="14" spans="1:5" ht="125.25" customHeight="1">
      <c r="A14" s="144">
        <f t="shared" si="0"/>
        <v>9</v>
      </c>
      <c r="B14" s="200">
        <v>1</v>
      </c>
      <c r="C14" s="217" t="s">
        <v>820</v>
      </c>
      <c r="D14" s="199" t="s">
        <v>385</v>
      </c>
    </row>
    <row r="15" spans="1:5" ht="278.25" customHeight="1">
      <c r="A15" s="144">
        <f t="shared" si="0"/>
        <v>10</v>
      </c>
      <c r="B15" s="200">
        <v>1</v>
      </c>
      <c r="C15" s="200" t="s">
        <v>747</v>
      </c>
      <c r="D15" s="218" t="s">
        <v>1011</v>
      </c>
    </row>
    <row r="16" spans="1:5">
      <c r="A16" s="144">
        <f t="shared" si="0"/>
        <v>11</v>
      </c>
      <c r="B16" s="200">
        <v>2</v>
      </c>
      <c r="C16" s="200" t="s">
        <v>121</v>
      </c>
      <c r="D16" s="201" t="s">
        <v>766</v>
      </c>
    </row>
    <row r="17" spans="1:5">
      <c r="A17" s="144">
        <f t="shared" si="0"/>
        <v>13</v>
      </c>
      <c r="B17" s="200">
        <v>16</v>
      </c>
      <c r="C17" s="200" t="s">
        <v>1059</v>
      </c>
      <c r="D17" s="201" t="s">
        <v>1060</v>
      </c>
    </row>
    <row r="18" spans="1:5" ht="22.8">
      <c r="A18" s="144">
        <f t="shared" si="0"/>
        <v>29</v>
      </c>
      <c r="B18" s="144">
        <v>2</v>
      </c>
      <c r="C18" s="144" t="s">
        <v>127</v>
      </c>
      <c r="D18" s="145" t="s">
        <v>128</v>
      </c>
    </row>
    <row r="19" spans="1:5" ht="34.200000000000003">
      <c r="A19" s="144">
        <f t="shared" si="0"/>
        <v>31</v>
      </c>
      <c r="B19" s="144">
        <v>4</v>
      </c>
      <c r="C19" s="144" t="s">
        <v>129</v>
      </c>
      <c r="D19" s="145" t="s">
        <v>130</v>
      </c>
    </row>
    <row r="20" spans="1:5">
      <c r="A20" s="144">
        <f t="shared" si="0"/>
        <v>35</v>
      </c>
      <c r="B20" s="144">
        <v>1</v>
      </c>
      <c r="C20" s="144" t="s">
        <v>131</v>
      </c>
      <c r="D20" s="145" t="s">
        <v>132</v>
      </c>
    </row>
    <row r="21" spans="1:5">
      <c r="A21" s="144">
        <f t="shared" si="0"/>
        <v>36</v>
      </c>
      <c r="B21" s="157" t="s">
        <v>486</v>
      </c>
      <c r="C21" s="198"/>
    </row>
    <row r="24" spans="1:5" ht="15">
      <c r="A24" s="155"/>
      <c r="B24" s="155"/>
      <c r="C24" s="198"/>
    </row>
    <row r="25" spans="1:5" ht="15">
      <c r="A25" s="505" t="s">
        <v>1064</v>
      </c>
      <c r="B25" s="505"/>
      <c r="C25" s="505"/>
      <c r="D25" s="505"/>
      <c r="E25" s="505"/>
    </row>
    <row r="26" spans="1:5">
      <c r="C26" s="198"/>
    </row>
    <row r="27" spans="1:5" ht="15">
      <c r="A27" s="505" t="s">
        <v>1065</v>
      </c>
      <c r="B27" s="505"/>
      <c r="C27" s="505"/>
      <c r="D27" s="505"/>
      <c r="E27" s="505"/>
    </row>
    <row r="28" spans="1:5" ht="15">
      <c r="A28" s="151"/>
      <c r="B28" s="155"/>
      <c r="C28" s="198"/>
      <c r="D28" s="175"/>
    </row>
    <row r="29" spans="1:5" s="169" customFormat="1" ht="30">
      <c r="A29" s="152" t="s">
        <v>110</v>
      </c>
      <c r="B29" s="152" t="s">
        <v>111</v>
      </c>
      <c r="C29" s="153" t="s">
        <v>112</v>
      </c>
      <c r="D29" s="168" t="s">
        <v>113</v>
      </c>
      <c r="E29" s="155"/>
    </row>
    <row r="30" spans="1:5">
      <c r="A30" s="144">
        <v>0</v>
      </c>
      <c r="B30" s="144">
        <v>1</v>
      </c>
      <c r="C30" s="198" t="s">
        <v>114</v>
      </c>
      <c r="D30" s="145" t="s">
        <v>115</v>
      </c>
    </row>
    <row r="31" spans="1:5">
      <c r="A31" s="144">
        <f t="shared" ref="A31:A42" si="1">A30+B30</f>
        <v>1</v>
      </c>
      <c r="B31" s="144">
        <v>1</v>
      </c>
      <c r="C31" s="198" t="s">
        <v>645</v>
      </c>
      <c r="D31" s="145" t="s">
        <v>1008</v>
      </c>
    </row>
    <row r="32" spans="1:5">
      <c r="A32" s="144">
        <f t="shared" si="1"/>
        <v>2</v>
      </c>
      <c r="B32" s="144">
        <v>1</v>
      </c>
      <c r="C32" s="198" t="s">
        <v>527</v>
      </c>
      <c r="D32" s="145" t="s">
        <v>1066</v>
      </c>
    </row>
    <row r="33" spans="1:5" ht="39.6">
      <c r="A33" s="144">
        <f t="shared" si="1"/>
        <v>3</v>
      </c>
      <c r="B33" s="144">
        <v>2</v>
      </c>
      <c r="C33" s="10" t="s">
        <v>120</v>
      </c>
      <c r="D33" s="145" t="str">
        <f>DEC2HEX(A42-5)</f>
        <v>D</v>
      </c>
      <c r="E33" s="156"/>
    </row>
    <row r="34" spans="1:5">
      <c r="A34" s="144">
        <f t="shared" si="1"/>
        <v>5</v>
      </c>
      <c r="B34" s="200">
        <v>2</v>
      </c>
      <c r="C34" s="200" t="s">
        <v>995</v>
      </c>
      <c r="D34" s="201" t="s">
        <v>1009</v>
      </c>
      <c r="E34" s="197"/>
    </row>
    <row r="35" spans="1:5">
      <c r="A35" s="144">
        <f t="shared" si="1"/>
        <v>7</v>
      </c>
      <c r="B35" s="144">
        <v>1</v>
      </c>
      <c r="C35" s="10" t="s">
        <v>1041</v>
      </c>
      <c r="D35" s="145" t="s">
        <v>1042</v>
      </c>
      <c r="E35" s="197"/>
    </row>
    <row r="36" spans="1:5">
      <c r="A36" s="144">
        <f t="shared" si="1"/>
        <v>8</v>
      </c>
      <c r="B36" s="144">
        <v>1</v>
      </c>
      <c r="C36" s="10" t="s">
        <v>347</v>
      </c>
      <c r="D36" s="145" t="s">
        <v>1033</v>
      </c>
      <c r="E36" s="197"/>
    </row>
    <row r="37" spans="1:5">
      <c r="A37" s="144">
        <f t="shared" si="1"/>
        <v>9</v>
      </c>
      <c r="B37" s="144">
        <v>1</v>
      </c>
      <c r="C37" s="10" t="s">
        <v>347</v>
      </c>
      <c r="E37" s="197"/>
    </row>
    <row r="38" spans="1:5">
      <c r="A38" s="144">
        <f t="shared" si="1"/>
        <v>10</v>
      </c>
      <c r="B38" s="144">
        <v>1</v>
      </c>
      <c r="C38" s="10" t="s">
        <v>347</v>
      </c>
      <c r="E38" s="197"/>
    </row>
    <row r="39" spans="1:5" ht="22.8">
      <c r="A39" s="144">
        <f t="shared" si="1"/>
        <v>11</v>
      </c>
      <c r="B39" s="144">
        <v>2</v>
      </c>
      <c r="C39" s="144" t="s">
        <v>127</v>
      </c>
      <c r="D39" s="145" t="s">
        <v>128</v>
      </c>
    </row>
    <row r="40" spans="1:5" ht="34.200000000000003">
      <c r="A40" s="144">
        <f t="shared" si="1"/>
        <v>13</v>
      </c>
      <c r="B40" s="144">
        <v>4</v>
      </c>
      <c r="C40" s="144" t="s">
        <v>129</v>
      </c>
      <c r="D40" s="145" t="s">
        <v>1022</v>
      </c>
    </row>
    <row r="41" spans="1:5">
      <c r="A41" s="144">
        <f t="shared" si="1"/>
        <v>17</v>
      </c>
      <c r="B41" s="144">
        <v>1</v>
      </c>
      <c r="C41" s="144" t="s">
        <v>131</v>
      </c>
      <c r="D41" s="145" t="s">
        <v>132</v>
      </c>
    </row>
    <row r="42" spans="1:5">
      <c r="A42" s="144">
        <f t="shared" si="1"/>
        <v>18</v>
      </c>
      <c r="B42" s="157" t="s">
        <v>486</v>
      </c>
      <c r="C42" s="198"/>
    </row>
  </sheetData>
  <mergeCells count="4">
    <mergeCell ref="A2:E2"/>
    <mergeCell ref="A4:E4"/>
    <mergeCell ref="A25:E25"/>
    <mergeCell ref="A27:E27"/>
  </mergeCells>
  <pageMargins left="0.75" right="0.75" top="1" bottom="1" header="0.51111111111111096" footer="0.51111111111111096"/>
  <pageSetup orientation="portrait" horizontalDpi="300" verticalDpi="300"/>
  <headerFooter scaleWithDoc="0"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46"/>
  <sheetViews>
    <sheetView topLeftCell="A138" zoomScale="115" zoomScaleNormal="115" workbookViewId="0">
      <selection activeCell="D54" sqref="D54"/>
    </sheetView>
  </sheetViews>
  <sheetFormatPr defaultColWidth="9.109375" defaultRowHeight="13.2"/>
  <cols>
    <col min="1" max="1" width="24.21875" style="144" customWidth="1"/>
    <col min="2" max="2" width="17.6640625" style="144" customWidth="1"/>
    <col min="3" max="3" width="26" style="198" customWidth="1"/>
    <col min="4" max="4" width="43"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6" ht="15">
      <c r="A1" s="155"/>
      <c r="B1" s="155"/>
    </row>
    <row r="2" spans="1:6" ht="15.6">
      <c r="A2" s="542" t="s">
        <v>1067</v>
      </c>
      <c r="B2" s="542"/>
      <c r="C2" s="542"/>
      <c r="D2" s="542"/>
      <c r="E2" s="542"/>
    </row>
    <row r="4" spans="1:6" s="210" customFormat="1" ht="15.6">
      <c r="A4" s="542" t="s">
        <v>1068</v>
      </c>
      <c r="B4" s="542"/>
      <c r="C4" s="542"/>
      <c r="D4" s="542"/>
      <c r="E4" s="542"/>
    </row>
    <row r="5" spans="1:6" ht="15">
      <c r="A5" s="151"/>
      <c r="B5" s="155"/>
      <c r="D5" s="175"/>
    </row>
    <row r="6" spans="1:6" s="165" customFormat="1" ht="18" customHeight="1">
      <c r="A6" s="176" t="s">
        <v>110</v>
      </c>
      <c r="B6" s="176" t="s">
        <v>111</v>
      </c>
      <c r="C6" s="177" t="s">
        <v>112</v>
      </c>
      <c r="D6" s="178" t="s">
        <v>113</v>
      </c>
      <c r="F6" s="165" t="s">
        <v>1069</v>
      </c>
    </row>
    <row r="7" spans="1:6">
      <c r="A7" s="144">
        <v>0</v>
      </c>
      <c r="B7" s="144">
        <v>1</v>
      </c>
      <c r="C7" s="198" t="s">
        <v>114</v>
      </c>
      <c r="D7" s="145" t="s">
        <v>115</v>
      </c>
      <c r="E7" s="146" t="s">
        <v>1070</v>
      </c>
      <c r="F7" s="146">
        <v>1</v>
      </c>
    </row>
    <row r="8" spans="1:6">
      <c r="A8" s="144">
        <f t="shared" ref="A8:A17" si="0">A7+B7</f>
        <v>1</v>
      </c>
      <c r="B8" s="144">
        <v>1</v>
      </c>
      <c r="C8" s="198" t="s">
        <v>770</v>
      </c>
      <c r="D8" s="145" t="s">
        <v>1071</v>
      </c>
      <c r="E8" s="146" t="s">
        <v>1072</v>
      </c>
      <c r="F8" s="146">
        <v>2</v>
      </c>
    </row>
    <row r="9" spans="1:6" ht="26.4">
      <c r="A9" s="144">
        <f t="shared" si="0"/>
        <v>2</v>
      </c>
      <c r="B9" s="144">
        <v>1</v>
      </c>
      <c r="C9" s="198" t="s">
        <v>1073</v>
      </c>
      <c r="D9" s="199" t="s">
        <v>1074</v>
      </c>
      <c r="E9" s="146" t="s">
        <v>1075</v>
      </c>
      <c r="F9" s="146">
        <v>3</v>
      </c>
    </row>
    <row r="10" spans="1:6" s="197" customFormat="1" ht="39.6">
      <c r="A10" s="144">
        <f t="shared" si="0"/>
        <v>3</v>
      </c>
      <c r="B10" s="200">
        <v>2</v>
      </c>
      <c r="C10" s="10" t="s">
        <v>120</v>
      </c>
      <c r="D10" s="145" t="str">
        <f>DEC2HEX(A17-5)</f>
        <v>C</v>
      </c>
      <c r="E10" s="197" t="s">
        <v>1076</v>
      </c>
      <c r="F10" s="197">
        <v>4</v>
      </c>
    </row>
    <row r="11" spans="1:6" s="197" customFormat="1">
      <c r="A11" s="144">
        <f t="shared" si="0"/>
        <v>5</v>
      </c>
      <c r="B11" s="200">
        <v>2</v>
      </c>
      <c r="C11" s="10">
        <v>64</v>
      </c>
      <c r="D11" s="145"/>
    </row>
    <row r="12" spans="1:6" s="197" customFormat="1">
      <c r="A12" s="144">
        <f t="shared" si="0"/>
        <v>7</v>
      </c>
      <c r="B12" s="200">
        <v>1</v>
      </c>
      <c r="C12" s="10" t="s">
        <v>123</v>
      </c>
      <c r="D12" s="145" t="s">
        <v>1077</v>
      </c>
    </row>
    <row r="13" spans="1:6" s="197" customFormat="1">
      <c r="A13" s="144">
        <f t="shared" si="0"/>
        <v>8</v>
      </c>
      <c r="B13" s="200">
        <v>2</v>
      </c>
      <c r="C13" s="10" t="s">
        <v>1078</v>
      </c>
      <c r="D13" s="145" t="s">
        <v>1079</v>
      </c>
    </row>
    <row r="14" spans="1:6">
      <c r="A14" s="144">
        <f t="shared" si="0"/>
        <v>10</v>
      </c>
      <c r="B14" s="144">
        <v>2</v>
      </c>
      <c r="C14" s="144" t="s">
        <v>127</v>
      </c>
      <c r="D14" s="145" t="s">
        <v>128</v>
      </c>
    </row>
    <row r="15" spans="1:6" ht="22.8">
      <c r="A15" s="144">
        <f t="shared" si="0"/>
        <v>12</v>
      </c>
      <c r="B15" s="144">
        <v>4</v>
      </c>
      <c r="C15" s="144" t="s">
        <v>129</v>
      </c>
      <c r="D15" s="145" t="s">
        <v>130</v>
      </c>
    </row>
    <row r="16" spans="1:6">
      <c r="A16" s="144">
        <f t="shared" si="0"/>
        <v>16</v>
      </c>
      <c r="B16" s="144">
        <v>1</v>
      </c>
      <c r="C16" s="144" t="s">
        <v>131</v>
      </c>
      <c r="D16" s="145" t="s">
        <v>132</v>
      </c>
    </row>
    <row r="17" spans="1:6">
      <c r="A17" s="144">
        <f t="shared" si="0"/>
        <v>17</v>
      </c>
      <c r="B17" s="157" t="s">
        <v>486</v>
      </c>
    </row>
    <row r="21" spans="1:6">
      <c r="A21" s="211"/>
      <c r="B21" s="212"/>
      <c r="C21" s="213"/>
      <c r="D21" s="214"/>
      <c r="E21" s="215"/>
    </row>
    <row r="22" spans="1:6" ht="15.6">
      <c r="A22" s="542" t="s">
        <v>1080</v>
      </c>
      <c r="B22" s="542"/>
      <c r="C22" s="542"/>
      <c r="D22" s="542"/>
      <c r="E22" s="542"/>
    </row>
    <row r="24" spans="1:6" s="210" customFormat="1" ht="15.6">
      <c r="A24" s="542" t="s">
        <v>1081</v>
      </c>
      <c r="B24" s="542"/>
      <c r="C24" s="542"/>
      <c r="D24" s="542"/>
      <c r="E24" s="542"/>
    </row>
    <row r="25" spans="1:6" ht="15">
      <c r="A25" s="151"/>
      <c r="B25" s="155"/>
      <c r="D25" s="175"/>
    </row>
    <row r="26" spans="1:6" s="165" customFormat="1" ht="18" customHeight="1">
      <c r="A26" s="176" t="s">
        <v>110</v>
      </c>
      <c r="B26" s="176" t="s">
        <v>111</v>
      </c>
      <c r="C26" s="177" t="s">
        <v>112</v>
      </c>
      <c r="D26" s="178" t="s">
        <v>113</v>
      </c>
      <c r="F26" s="165" t="s">
        <v>1069</v>
      </c>
    </row>
    <row r="27" spans="1:6">
      <c r="A27" s="144">
        <v>0</v>
      </c>
      <c r="B27" s="144">
        <v>1</v>
      </c>
      <c r="C27" s="198" t="s">
        <v>114</v>
      </c>
      <c r="D27" s="145" t="s">
        <v>115</v>
      </c>
      <c r="E27" s="146" t="s">
        <v>1082</v>
      </c>
      <c r="F27" s="146">
        <v>1</v>
      </c>
    </row>
    <row r="28" spans="1:6">
      <c r="A28" s="144">
        <f t="shared" ref="A28:A37" si="1">A27+B27</f>
        <v>1</v>
      </c>
      <c r="B28" s="144">
        <v>1</v>
      </c>
      <c r="C28" s="198" t="s">
        <v>770</v>
      </c>
      <c r="D28" s="145" t="s">
        <v>1071</v>
      </c>
      <c r="E28" s="146" t="s">
        <v>1083</v>
      </c>
      <c r="F28" s="146">
        <v>2</v>
      </c>
    </row>
    <row r="29" spans="1:6">
      <c r="A29" s="144">
        <f t="shared" si="1"/>
        <v>2</v>
      </c>
      <c r="B29" s="144">
        <v>1</v>
      </c>
      <c r="C29" s="198" t="s">
        <v>525</v>
      </c>
      <c r="D29" s="199" t="s">
        <v>1084</v>
      </c>
      <c r="E29" s="146" t="s">
        <v>1085</v>
      </c>
      <c r="F29" s="146">
        <v>3</v>
      </c>
    </row>
    <row r="30" spans="1:6" s="197" customFormat="1" ht="39.6">
      <c r="A30" s="144">
        <f t="shared" si="1"/>
        <v>3</v>
      </c>
      <c r="B30" s="200">
        <v>2</v>
      </c>
      <c r="C30" s="10" t="s">
        <v>120</v>
      </c>
      <c r="D30" s="145" t="str">
        <f>DEC2HEX(A37-5)</f>
        <v>C</v>
      </c>
      <c r="E30" s="197" t="s">
        <v>1086</v>
      </c>
      <c r="F30" s="197">
        <v>4</v>
      </c>
    </row>
    <row r="31" spans="1:6" s="197" customFormat="1">
      <c r="A31" s="144">
        <f t="shared" si="1"/>
        <v>5</v>
      </c>
      <c r="B31" s="200">
        <v>2</v>
      </c>
      <c r="C31" s="10" t="s">
        <v>995</v>
      </c>
      <c r="D31" s="145" t="s">
        <v>1079</v>
      </c>
    </row>
    <row r="32" spans="1:6" s="197" customFormat="1">
      <c r="A32" s="144">
        <f t="shared" si="1"/>
        <v>7</v>
      </c>
      <c r="B32" s="200">
        <v>1</v>
      </c>
      <c r="C32" s="10" t="s">
        <v>123</v>
      </c>
      <c r="D32" s="145" t="s">
        <v>1087</v>
      </c>
    </row>
    <row r="33" spans="1:6" s="197" customFormat="1">
      <c r="A33" s="144">
        <f t="shared" si="1"/>
        <v>8</v>
      </c>
      <c r="B33" s="200">
        <v>2</v>
      </c>
      <c r="C33" s="10" t="s">
        <v>762</v>
      </c>
      <c r="D33" s="145" t="s">
        <v>1088</v>
      </c>
    </row>
    <row r="34" spans="1:6">
      <c r="A34" s="144">
        <f t="shared" si="1"/>
        <v>10</v>
      </c>
      <c r="B34" s="144">
        <v>2</v>
      </c>
      <c r="C34" s="144" t="s">
        <v>127</v>
      </c>
      <c r="D34" s="145" t="s">
        <v>128</v>
      </c>
    </row>
    <row r="35" spans="1:6" ht="22.8">
      <c r="A35" s="144">
        <f t="shared" si="1"/>
        <v>12</v>
      </c>
      <c r="B35" s="144">
        <v>4</v>
      </c>
      <c r="C35" s="144" t="s">
        <v>129</v>
      </c>
      <c r="D35" s="145" t="s">
        <v>130</v>
      </c>
    </row>
    <row r="36" spans="1:6">
      <c r="A36" s="144">
        <f t="shared" si="1"/>
        <v>16</v>
      </c>
      <c r="B36" s="144">
        <v>1</v>
      </c>
      <c r="C36" s="144" t="s">
        <v>131</v>
      </c>
      <c r="D36" s="145" t="s">
        <v>132</v>
      </c>
    </row>
    <row r="37" spans="1:6">
      <c r="A37" s="144">
        <f t="shared" si="1"/>
        <v>17</v>
      </c>
      <c r="B37" s="157" t="s">
        <v>486</v>
      </c>
    </row>
    <row r="41" spans="1:6">
      <c r="A41" s="211"/>
      <c r="B41" s="212"/>
      <c r="C41" s="213"/>
      <c r="D41" s="214"/>
      <c r="E41" s="215"/>
    </row>
    <row r="42" spans="1:6" ht="15.6">
      <c r="A42" s="542" t="s">
        <v>1089</v>
      </c>
      <c r="B42" s="542"/>
      <c r="C42" s="542"/>
      <c r="D42" s="542"/>
      <c r="E42" s="542"/>
    </row>
    <row r="44" spans="1:6" s="210" customFormat="1" ht="15.6">
      <c r="A44" s="542" t="s">
        <v>1090</v>
      </c>
      <c r="B44" s="542"/>
      <c r="C44" s="542"/>
      <c r="D44" s="542"/>
      <c r="E44" s="542"/>
    </row>
    <row r="45" spans="1:6" ht="15">
      <c r="A45" s="151"/>
      <c r="B45" s="155"/>
      <c r="D45" s="175"/>
    </row>
    <row r="46" spans="1:6" s="165" customFormat="1" ht="18" customHeight="1">
      <c r="A46" s="176" t="s">
        <v>110</v>
      </c>
      <c r="B46" s="176" t="s">
        <v>111</v>
      </c>
      <c r="C46" s="177" t="s">
        <v>112</v>
      </c>
      <c r="D46" s="178" t="s">
        <v>113</v>
      </c>
      <c r="F46" s="165" t="s">
        <v>1069</v>
      </c>
    </row>
    <row r="47" spans="1:6">
      <c r="A47" s="144">
        <v>0</v>
      </c>
      <c r="B47" s="144">
        <v>1</v>
      </c>
      <c r="C47" s="198" t="s">
        <v>114</v>
      </c>
      <c r="D47" s="145" t="s">
        <v>115</v>
      </c>
      <c r="E47" s="146" t="s">
        <v>1091</v>
      </c>
      <c r="F47" s="146">
        <v>1</v>
      </c>
    </row>
    <row r="48" spans="1:6">
      <c r="A48" s="144">
        <f t="shared" ref="A48:A56" si="2">A47+B47</f>
        <v>1</v>
      </c>
      <c r="B48" s="144">
        <v>1</v>
      </c>
      <c r="C48" s="198" t="s">
        <v>1092</v>
      </c>
      <c r="D48" s="145" t="s">
        <v>1093</v>
      </c>
      <c r="E48" s="146" t="s">
        <v>1094</v>
      </c>
      <c r="F48" s="146">
        <v>2</v>
      </c>
    </row>
    <row r="49" spans="1:6">
      <c r="A49" s="144">
        <f t="shared" si="2"/>
        <v>2</v>
      </c>
      <c r="B49" s="144">
        <v>1</v>
      </c>
      <c r="C49" s="198" t="s">
        <v>1095</v>
      </c>
      <c r="D49" s="199" t="s">
        <v>1096</v>
      </c>
      <c r="E49" s="146" t="s">
        <v>1097</v>
      </c>
      <c r="F49" s="146">
        <v>3</v>
      </c>
    </row>
    <row r="50" spans="1:6" s="197" customFormat="1" ht="39.6">
      <c r="A50" s="144">
        <f t="shared" si="2"/>
        <v>3</v>
      </c>
      <c r="B50" s="200">
        <v>2</v>
      </c>
      <c r="C50" s="10" t="s">
        <v>120</v>
      </c>
      <c r="D50" s="145" t="str">
        <f>DEC2HEX(A56-5)</f>
        <v>C</v>
      </c>
      <c r="E50" s="146" t="s">
        <v>1098</v>
      </c>
      <c r="F50" s="197">
        <v>4</v>
      </c>
    </row>
    <row r="51" spans="1:6" s="197" customFormat="1">
      <c r="A51" s="144">
        <f t="shared" si="2"/>
        <v>5</v>
      </c>
      <c r="B51" s="200">
        <v>2</v>
      </c>
      <c r="C51" s="10" t="s">
        <v>995</v>
      </c>
      <c r="D51" s="145" t="s">
        <v>1079</v>
      </c>
    </row>
    <row r="52" spans="1:6" s="197" customFormat="1">
      <c r="A52" s="144">
        <f t="shared" si="2"/>
        <v>7</v>
      </c>
      <c r="B52" s="200">
        <v>3</v>
      </c>
      <c r="C52" s="10" t="s">
        <v>1099</v>
      </c>
      <c r="D52" s="145" t="s">
        <v>1100</v>
      </c>
    </row>
    <row r="53" spans="1:6">
      <c r="A53" s="144">
        <f t="shared" si="2"/>
        <v>10</v>
      </c>
      <c r="B53" s="144">
        <v>2</v>
      </c>
      <c r="C53" s="144" t="s">
        <v>127</v>
      </c>
      <c r="D53" s="145" t="s">
        <v>128</v>
      </c>
    </row>
    <row r="54" spans="1:6" ht="22.8">
      <c r="A54" s="144">
        <f t="shared" si="2"/>
        <v>12</v>
      </c>
      <c r="B54" s="144">
        <v>4</v>
      </c>
      <c r="C54" s="144" t="s">
        <v>129</v>
      </c>
      <c r="D54" s="145" t="s">
        <v>130</v>
      </c>
    </row>
    <row r="55" spans="1:6">
      <c r="A55" s="144">
        <f t="shared" si="2"/>
        <v>16</v>
      </c>
      <c r="B55" s="144">
        <v>1</v>
      </c>
      <c r="C55" s="144" t="s">
        <v>131</v>
      </c>
      <c r="D55" s="145" t="s">
        <v>132</v>
      </c>
    </row>
    <row r="56" spans="1:6">
      <c r="A56" s="144">
        <f t="shared" si="2"/>
        <v>17</v>
      </c>
      <c r="B56" s="157" t="s">
        <v>486</v>
      </c>
    </row>
    <row r="60" spans="1:6">
      <c r="A60" s="211"/>
      <c r="B60" s="212"/>
      <c r="C60" s="213"/>
      <c r="D60" s="214"/>
      <c r="E60" s="215"/>
    </row>
    <row r="61" spans="1:6" ht="15.6">
      <c r="A61" s="542" t="s">
        <v>1101</v>
      </c>
      <c r="B61" s="542"/>
      <c r="C61" s="542"/>
      <c r="D61" s="542"/>
      <c r="E61" s="542"/>
    </row>
    <row r="63" spans="1:6" s="210" customFormat="1" ht="15.6">
      <c r="A63" s="542" t="s">
        <v>1102</v>
      </c>
      <c r="B63" s="542"/>
      <c r="C63" s="542"/>
      <c r="D63" s="542"/>
      <c r="E63" s="542"/>
    </row>
    <row r="64" spans="1:6" ht="15">
      <c r="A64" s="151"/>
      <c r="B64" s="155"/>
      <c r="D64" s="175"/>
    </row>
    <row r="65" spans="1:6" s="165" customFormat="1" ht="18" customHeight="1">
      <c r="A65" s="176" t="s">
        <v>110</v>
      </c>
      <c r="B65" s="176" t="s">
        <v>111</v>
      </c>
      <c r="C65" s="177" t="s">
        <v>112</v>
      </c>
      <c r="D65" s="178" t="s">
        <v>113</v>
      </c>
      <c r="F65" s="165" t="s">
        <v>1069</v>
      </c>
    </row>
    <row r="66" spans="1:6">
      <c r="A66" s="144">
        <v>0</v>
      </c>
      <c r="B66" s="144">
        <v>1</v>
      </c>
      <c r="C66" s="198" t="s">
        <v>114</v>
      </c>
      <c r="D66" s="145" t="s">
        <v>115</v>
      </c>
      <c r="E66" s="146" t="s">
        <v>1103</v>
      </c>
      <c r="F66" s="146">
        <v>1</v>
      </c>
    </row>
    <row r="67" spans="1:6">
      <c r="A67" s="144">
        <f t="shared" ref="A67:A76" si="3">A66+B66</f>
        <v>1</v>
      </c>
      <c r="B67" s="144">
        <v>1</v>
      </c>
      <c r="C67" s="198" t="s">
        <v>770</v>
      </c>
      <c r="D67" s="145" t="s">
        <v>1071</v>
      </c>
      <c r="E67" s="146" t="s">
        <v>1104</v>
      </c>
      <c r="F67" s="146">
        <v>2</v>
      </c>
    </row>
    <row r="68" spans="1:6">
      <c r="A68" s="144">
        <f t="shared" si="3"/>
        <v>2</v>
      </c>
      <c r="B68" s="144">
        <v>1</v>
      </c>
      <c r="C68" s="198" t="s">
        <v>525</v>
      </c>
      <c r="D68" s="199" t="s">
        <v>1084</v>
      </c>
      <c r="E68" s="146" t="s">
        <v>1105</v>
      </c>
      <c r="F68" s="146">
        <v>3</v>
      </c>
    </row>
    <row r="69" spans="1:6" s="197" customFormat="1" ht="39.6">
      <c r="A69" s="144">
        <f t="shared" si="3"/>
        <v>3</v>
      </c>
      <c r="B69" s="200">
        <v>2</v>
      </c>
      <c r="C69" s="10" t="s">
        <v>120</v>
      </c>
      <c r="D69" s="145" t="str">
        <f>DEC2HEX(A76-5)</f>
        <v>C</v>
      </c>
      <c r="E69" s="146" t="s">
        <v>1106</v>
      </c>
      <c r="F69" s="197">
        <v>4</v>
      </c>
    </row>
    <row r="70" spans="1:6" s="197" customFormat="1" ht="26.4">
      <c r="A70" s="144">
        <f t="shared" si="3"/>
        <v>5</v>
      </c>
      <c r="B70" s="200">
        <v>2</v>
      </c>
      <c r="C70" s="10" t="s">
        <v>1107</v>
      </c>
      <c r="D70" s="145" t="s">
        <v>1079</v>
      </c>
    </row>
    <row r="71" spans="1:6" s="197" customFormat="1">
      <c r="A71" s="144">
        <f t="shared" si="3"/>
        <v>7</v>
      </c>
      <c r="B71" s="200">
        <v>2</v>
      </c>
      <c r="C71" s="10" t="s">
        <v>123</v>
      </c>
      <c r="D71" s="145" t="s">
        <v>1108</v>
      </c>
    </row>
    <row r="72" spans="1:6" s="197" customFormat="1">
      <c r="A72" s="144">
        <f t="shared" si="3"/>
        <v>9</v>
      </c>
      <c r="B72" s="200">
        <v>1</v>
      </c>
      <c r="C72" s="10" t="s">
        <v>762</v>
      </c>
      <c r="D72" s="145" t="s">
        <v>1109</v>
      </c>
    </row>
    <row r="73" spans="1:6">
      <c r="A73" s="144">
        <f t="shared" si="3"/>
        <v>10</v>
      </c>
      <c r="B73" s="144">
        <v>2</v>
      </c>
      <c r="C73" s="144" t="s">
        <v>127</v>
      </c>
      <c r="D73" s="145" t="s">
        <v>128</v>
      </c>
    </row>
    <row r="74" spans="1:6" ht="22.8">
      <c r="A74" s="144">
        <f t="shared" si="3"/>
        <v>12</v>
      </c>
      <c r="B74" s="144">
        <v>4</v>
      </c>
      <c r="C74" s="144" t="s">
        <v>129</v>
      </c>
      <c r="D74" s="145" t="s">
        <v>130</v>
      </c>
    </row>
    <row r="75" spans="1:6">
      <c r="A75" s="144">
        <f t="shared" si="3"/>
        <v>16</v>
      </c>
      <c r="B75" s="144">
        <v>1</v>
      </c>
      <c r="C75" s="144" t="s">
        <v>131</v>
      </c>
      <c r="D75" s="145" t="s">
        <v>132</v>
      </c>
    </row>
    <row r="76" spans="1:6">
      <c r="A76" s="144">
        <f t="shared" si="3"/>
        <v>17</v>
      </c>
      <c r="B76" s="157" t="s">
        <v>486</v>
      </c>
    </row>
    <row r="80" spans="1:6">
      <c r="A80" s="211"/>
      <c r="B80" s="212"/>
      <c r="C80" s="213"/>
      <c r="D80" s="214"/>
      <c r="E80" s="215"/>
    </row>
    <row r="81" spans="1:6" ht="15.6">
      <c r="A81" s="542" t="s">
        <v>1110</v>
      </c>
      <c r="B81" s="542"/>
      <c r="C81" s="542"/>
      <c r="D81" s="542"/>
      <c r="E81" s="542"/>
    </row>
    <row r="83" spans="1:6" s="210" customFormat="1" ht="15.6">
      <c r="A83" s="542" t="s">
        <v>1111</v>
      </c>
      <c r="B83" s="542"/>
      <c r="C83" s="542"/>
      <c r="D83" s="542"/>
      <c r="E83" s="542"/>
    </row>
    <row r="84" spans="1:6" ht="15">
      <c r="A84" s="151"/>
      <c r="B84" s="155"/>
      <c r="D84" s="175"/>
    </row>
    <row r="85" spans="1:6" s="165" customFormat="1" ht="18" customHeight="1">
      <c r="A85" s="176" t="s">
        <v>110</v>
      </c>
      <c r="B85" s="176" t="s">
        <v>111</v>
      </c>
      <c r="C85" s="177" t="s">
        <v>112</v>
      </c>
      <c r="D85" s="178" t="s">
        <v>113</v>
      </c>
      <c r="F85" s="165" t="s">
        <v>1069</v>
      </c>
    </row>
    <row r="86" spans="1:6" ht="15.6">
      <c r="A86" s="144">
        <v>0</v>
      </c>
      <c r="B86" s="144">
        <v>1</v>
      </c>
      <c r="C86" s="198" t="s">
        <v>114</v>
      </c>
      <c r="D86" s="145" t="s">
        <v>115</v>
      </c>
      <c r="E86" s="146" t="s">
        <v>1112</v>
      </c>
      <c r="F86" s="146">
        <v>1</v>
      </c>
    </row>
    <row r="87" spans="1:6" ht="15.6">
      <c r="A87" s="144">
        <f t="shared" ref="A87:A97" si="4">A86+B86</f>
        <v>1</v>
      </c>
      <c r="B87" s="144">
        <v>1</v>
      </c>
      <c r="C87" s="198" t="s">
        <v>770</v>
      </c>
      <c r="D87" s="145" t="s">
        <v>1071</v>
      </c>
      <c r="E87" s="146" t="s">
        <v>1113</v>
      </c>
      <c r="F87" s="146">
        <v>2</v>
      </c>
    </row>
    <row r="88" spans="1:6" ht="15.6">
      <c r="A88" s="144">
        <f t="shared" si="4"/>
        <v>2</v>
      </c>
      <c r="B88" s="144">
        <v>1</v>
      </c>
      <c r="C88" s="198" t="s">
        <v>1095</v>
      </c>
      <c r="D88" s="199" t="s">
        <v>1114</v>
      </c>
      <c r="E88" s="146" t="s">
        <v>1115</v>
      </c>
      <c r="F88" s="146">
        <v>3</v>
      </c>
    </row>
    <row r="89" spans="1:6" s="197" customFormat="1" ht="39.6">
      <c r="A89" s="144">
        <f t="shared" si="4"/>
        <v>3</v>
      </c>
      <c r="B89" s="200">
        <v>2</v>
      </c>
      <c r="C89" s="10" t="s">
        <v>120</v>
      </c>
      <c r="D89" s="145" t="str">
        <f>DEC2HEX(A97-5)</f>
        <v>F</v>
      </c>
      <c r="E89" s="146" t="s">
        <v>1116</v>
      </c>
      <c r="F89" s="197">
        <v>4</v>
      </c>
    </row>
    <row r="90" spans="1:6" s="197" customFormat="1">
      <c r="A90" s="144">
        <f t="shared" si="4"/>
        <v>5</v>
      </c>
      <c r="B90" s="200">
        <v>2</v>
      </c>
      <c r="C90" s="10" t="s">
        <v>1117</v>
      </c>
      <c r="D90" s="145" t="s">
        <v>1079</v>
      </c>
      <c r="E90" s="197" t="s">
        <v>1118</v>
      </c>
    </row>
    <row r="91" spans="1:6" s="197" customFormat="1">
      <c r="A91" s="144">
        <f t="shared" si="4"/>
        <v>7</v>
      </c>
      <c r="B91" s="200">
        <v>2</v>
      </c>
      <c r="C91" s="10" t="s">
        <v>123</v>
      </c>
      <c r="D91" s="145" t="s">
        <v>1119</v>
      </c>
    </row>
    <row r="92" spans="1:6" s="197" customFormat="1">
      <c r="A92" s="144">
        <f t="shared" si="4"/>
        <v>9</v>
      </c>
      <c r="B92" s="200">
        <v>1</v>
      </c>
      <c r="C92" s="10" t="s">
        <v>762</v>
      </c>
      <c r="D92" s="145" t="s">
        <v>1109</v>
      </c>
      <c r="E92" s="197" t="s">
        <v>1120</v>
      </c>
    </row>
    <row r="93" spans="1:6" s="197" customFormat="1" ht="26.4">
      <c r="A93" s="144">
        <f t="shared" si="4"/>
        <v>10</v>
      </c>
      <c r="B93" s="200">
        <v>3</v>
      </c>
      <c r="C93" s="10" t="s">
        <v>1121</v>
      </c>
      <c r="D93" s="145" t="s">
        <v>1122</v>
      </c>
    </row>
    <row r="94" spans="1:6">
      <c r="A94" s="144">
        <f t="shared" si="4"/>
        <v>13</v>
      </c>
      <c r="B94" s="144">
        <v>2</v>
      </c>
      <c r="C94" s="144" t="s">
        <v>127</v>
      </c>
      <c r="D94" s="145" t="s">
        <v>128</v>
      </c>
    </row>
    <row r="95" spans="1:6" ht="22.8">
      <c r="A95" s="144">
        <f t="shared" si="4"/>
        <v>15</v>
      </c>
      <c r="B95" s="144">
        <v>4</v>
      </c>
      <c r="C95" s="144" t="s">
        <v>129</v>
      </c>
      <c r="D95" s="145" t="s">
        <v>130</v>
      </c>
    </row>
    <row r="96" spans="1:6">
      <c r="A96" s="144">
        <f t="shared" si="4"/>
        <v>19</v>
      </c>
      <c r="B96" s="144">
        <v>1</v>
      </c>
      <c r="C96" s="144" t="s">
        <v>131</v>
      </c>
      <c r="D96" s="145" t="s">
        <v>132</v>
      </c>
    </row>
    <row r="97" spans="1:6">
      <c r="A97" s="144">
        <f t="shared" si="4"/>
        <v>20</v>
      </c>
      <c r="B97" s="157" t="s">
        <v>486</v>
      </c>
    </row>
    <row r="101" spans="1:6">
      <c r="A101" s="211"/>
      <c r="B101" s="212"/>
      <c r="C101" s="213"/>
      <c r="D101" s="214"/>
      <c r="E101" s="215"/>
    </row>
    <row r="102" spans="1:6" ht="15.6">
      <c r="A102" s="542" t="s">
        <v>1123</v>
      </c>
      <c r="B102" s="542"/>
      <c r="C102" s="542"/>
      <c r="D102" s="542"/>
      <c r="E102" s="542"/>
    </row>
    <row r="104" spans="1:6" s="210" customFormat="1" ht="15.6">
      <c r="A104" s="542" t="s">
        <v>1124</v>
      </c>
      <c r="B104" s="542"/>
      <c r="C104" s="542"/>
      <c r="D104" s="542"/>
      <c r="E104" s="542"/>
    </row>
    <row r="105" spans="1:6" ht="15">
      <c r="A105" s="151"/>
      <c r="B105" s="155"/>
      <c r="D105" s="175"/>
    </row>
    <row r="106" spans="1:6" s="165" customFormat="1" ht="18" customHeight="1">
      <c r="A106" s="176" t="s">
        <v>110</v>
      </c>
      <c r="B106" s="176" t="s">
        <v>111</v>
      </c>
      <c r="C106" s="177" t="s">
        <v>112</v>
      </c>
      <c r="D106" s="178" t="s">
        <v>113</v>
      </c>
      <c r="F106" s="165" t="s">
        <v>1069</v>
      </c>
    </row>
    <row r="107" spans="1:6">
      <c r="A107" s="144">
        <v>0</v>
      </c>
      <c r="B107" s="144">
        <v>1</v>
      </c>
      <c r="C107" s="198" t="s">
        <v>114</v>
      </c>
      <c r="D107" s="145" t="s">
        <v>115</v>
      </c>
      <c r="E107" s="146" t="s">
        <v>1125</v>
      </c>
      <c r="F107" s="146">
        <v>1</v>
      </c>
    </row>
    <row r="108" spans="1:6">
      <c r="A108" s="144">
        <f t="shared" ref="A108:A116" si="5">A107+B107</f>
        <v>1</v>
      </c>
      <c r="B108" s="144">
        <v>1</v>
      </c>
      <c r="C108" s="198" t="s">
        <v>1092</v>
      </c>
      <c r="D108" s="145" t="s">
        <v>1093</v>
      </c>
      <c r="E108" s="146" t="s">
        <v>1126</v>
      </c>
      <c r="F108" s="146">
        <v>2</v>
      </c>
    </row>
    <row r="109" spans="1:6">
      <c r="A109" s="144">
        <f t="shared" si="5"/>
        <v>2</v>
      </c>
      <c r="B109" s="144">
        <v>1</v>
      </c>
      <c r="C109" s="198" t="s">
        <v>1127</v>
      </c>
      <c r="D109" s="199" t="s">
        <v>1128</v>
      </c>
      <c r="E109" s="146" t="s">
        <v>1129</v>
      </c>
      <c r="F109" s="146">
        <v>3</v>
      </c>
    </row>
    <row r="110" spans="1:6" s="197" customFormat="1" ht="39.6">
      <c r="A110" s="144">
        <f t="shared" si="5"/>
        <v>3</v>
      </c>
      <c r="B110" s="200">
        <v>2</v>
      </c>
      <c r="C110" s="10" t="s">
        <v>120</v>
      </c>
      <c r="D110" s="145" t="str">
        <f>DEC2HEX(A116-5)</f>
        <v>C</v>
      </c>
      <c r="E110" s="146" t="s">
        <v>1130</v>
      </c>
      <c r="F110" s="197">
        <v>4</v>
      </c>
    </row>
    <row r="111" spans="1:6" s="197" customFormat="1">
      <c r="A111" s="144">
        <f t="shared" si="5"/>
        <v>5</v>
      </c>
      <c r="B111" s="200">
        <v>2</v>
      </c>
      <c r="C111" s="10" t="s">
        <v>995</v>
      </c>
      <c r="D111" s="145" t="s">
        <v>1079</v>
      </c>
    </row>
    <row r="112" spans="1:6" s="197" customFormat="1">
      <c r="A112" s="144">
        <f t="shared" si="5"/>
        <v>7</v>
      </c>
      <c r="B112" s="200">
        <v>3</v>
      </c>
      <c r="C112" s="10"/>
      <c r="D112" s="145" t="s">
        <v>1131</v>
      </c>
    </row>
    <row r="113" spans="1:5">
      <c r="A113" s="144">
        <f t="shared" si="5"/>
        <v>10</v>
      </c>
      <c r="B113" s="144">
        <v>2</v>
      </c>
      <c r="C113" s="144" t="s">
        <v>127</v>
      </c>
      <c r="D113" s="145" t="s">
        <v>128</v>
      </c>
    </row>
    <row r="114" spans="1:5" ht="22.8">
      <c r="A114" s="144">
        <f t="shared" si="5"/>
        <v>12</v>
      </c>
      <c r="B114" s="144">
        <v>4</v>
      </c>
      <c r="C114" s="144" t="s">
        <v>129</v>
      </c>
      <c r="D114" s="145" t="s">
        <v>130</v>
      </c>
    </row>
    <row r="115" spans="1:5">
      <c r="A115" s="144">
        <f t="shared" si="5"/>
        <v>16</v>
      </c>
      <c r="B115" s="144">
        <v>1</v>
      </c>
      <c r="C115" s="144" t="s">
        <v>131</v>
      </c>
      <c r="D115" s="145" t="s">
        <v>132</v>
      </c>
    </row>
    <row r="116" spans="1:5">
      <c r="A116" s="144">
        <f t="shared" si="5"/>
        <v>17</v>
      </c>
      <c r="B116" s="157" t="s">
        <v>486</v>
      </c>
    </row>
    <row r="120" spans="1:5">
      <c r="A120" s="211"/>
      <c r="B120" s="212"/>
      <c r="C120" s="213"/>
      <c r="D120" s="214"/>
      <c r="E120" s="215"/>
    </row>
    <row r="121" spans="1:5" ht="15.6">
      <c r="A121" s="542" t="s">
        <v>1132</v>
      </c>
      <c r="B121" s="542"/>
      <c r="C121" s="542"/>
      <c r="D121" s="542"/>
      <c r="E121" s="542"/>
    </row>
    <row r="123" spans="1:5" s="210" customFormat="1" ht="15.6">
      <c r="A123" s="542" t="s">
        <v>1133</v>
      </c>
      <c r="B123" s="542"/>
      <c r="C123" s="542"/>
      <c r="D123" s="542"/>
      <c r="E123" s="542"/>
    </row>
    <row r="124" spans="1:5" ht="15">
      <c r="A124" s="151"/>
      <c r="B124" s="155"/>
      <c r="D124" s="175"/>
    </row>
    <row r="125" spans="1:5" s="165" customFormat="1" ht="18" customHeight="1">
      <c r="A125" s="176" t="s">
        <v>110</v>
      </c>
      <c r="B125" s="176" t="s">
        <v>111</v>
      </c>
      <c r="C125" s="177" t="s">
        <v>112</v>
      </c>
      <c r="D125" s="178" t="s">
        <v>113</v>
      </c>
    </row>
    <row r="126" spans="1:5">
      <c r="A126" s="144">
        <v>0</v>
      </c>
      <c r="B126" s="144">
        <v>1</v>
      </c>
      <c r="C126" s="198" t="s">
        <v>114</v>
      </c>
      <c r="D126" s="145" t="s">
        <v>115</v>
      </c>
      <c r="E126" s="160" t="s">
        <v>1134</v>
      </c>
    </row>
    <row r="127" spans="1:5">
      <c r="A127" s="144">
        <f t="shared" ref="A127:A136" si="6">A126+B126</f>
        <v>1</v>
      </c>
      <c r="B127" s="144">
        <v>1</v>
      </c>
      <c r="C127" s="198" t="s">
        <v>770</v>
      </c>
      <c r="D127" s="145" t="s">
        <v>1071</v>
      </c>
    </row>
    <row r="128" spans="1:5">
      <c r="A128" s="144">
        <f t="shared" si="6"/>
        <v>2</v>
      </c>
      <c r="B128" s="144">
        <v>1</v>
      </c>
      <c r="C128" s="198" t="s">
        <v>525</v>
      </c>
      <c r="D128" s="199" t="s">
        <v>1135</v>
      </c>
    </row>
    <row r="129" spans="1:6" s="197" customFormat="1" ht="39.6">
      <c r="A129" s="144">
        <f t="shared" si="6"/>
        <v>3</v>
      </c>
      <c r="B129" s="200">
        <v>2</v>
      </c>
      <c r="C129" s="10" t="s">
        <v>120</v>
      </c>
      <c r="D129" s="145" t="str">
        <f>DEC2HEX(A136-5)</f>
        <v>C</v>
      </c>
    </row>
    <row r="130" spans="1:6" s="197" customFormat="1">
      <c r="A130" s="144">
        <f t="shared" si="6"/>
        <v>5</v>
      </c>
      <c r="B130" s="200">
        <v>2</v>
      </c>
      <c r="C130" s="10">
        <v>65</v>
      </c>
      <c r="D130" s="145"/>
    </row>
    <row r="131" spans="1:6" s="197" customFormat="1">
      <c r="A131" s="144">
        <f t="shared" si="6"/>
        <v>7</v>
      </c>
      <c r="B131" s="200">
        <v>1</v>
      </c>
      <c r="C131" s="10" t="s">
        <v>123</v>
      </c>
      <c r="D131" s="145" t="s">
        <v>1136</v>
      </c>
    </row>
    <row r="132" spans="1:6" s="197" customFormat="1">
      <c r="A132" s="144">
        <f t="shared" si="6"/>
        <v>8</v>
      </c>
      <c r="B132" s="200">
        <v>2</v>
      </c>
      <c r="C132" s="10" t="s">
        <v>762</v>
      </c>
      <c r="D132" s="145" t="s">
        <v>1088</v>
      </c>
    </row>
    <row r="133" spans="1:6">
      <c r="A133" s="144">
        <f t="shared" si="6"/>
        <v>10</v>
      </c>
      <c r="B133" s="144">
        <v>2</v>
      </c>
      <c r="C133" s="144" t="s">
        <v>127</v>
      </c>
      <c r="D133" s="145" t="s">
        <v>128</v>
      </c>
    </row>
    <row r="134" spans="1:6" ht="22.8">
      <c r="A134" s="144">
        <f t="shared" si="6"/>
        <v>12</v>
      </c>
      <c r="B134" s="144">
        <v>4</v>
      </c>
      <c r="C134" s="144" t="s">
        <v>129</v>
      </c>
      <c r="D134" s="145" t="s">
        <v>130</v>
      </c>
    </row>
    <row r="135" spans="1:6">
      <c r="A135" s="144">
        <f t="shared" si="6"/>
        <v>16</v>
      </c>
      <c r="B135" s="144">
        <v>1</v>
      </c>
      <c r="C135" s="144" t="s">
        <v>131</v>
      </c>
      <c r="D135" s="145" t="s">
        <v>132</v>
      </c>
    </row>
    <row r="136" spans="1:6">
      <c r="A136" s="144">
        <f t="shared" si="6"/>
        <v>17</v>
      </c>
      <c r="B136" s="157" t="s">
        <v>486</v>
      </c>
    </row>
    <row r="142" spans="1:6" ht="15.6">
      <c r="F142" s="165" t="s">
        <v>1069</v>
      </c>
    </row>
    <row r="143" spans="1:6">
      <c r="D143" s="145" t="s">
        <v>1137</v>
      </c>
      <c r="F143" s="146">
        <v>1</v>
      </c>
    </row>
    <row r="144" spans="1:6">
      <c r="D144" s="145" t="s">
        <v>1138</v>
      </c>
      <c r="F144" s="146">
        <v>2</v>
      </c>
    </row>
    <row r="145" spans="4:6">
      <c r="D145" s="145" t="s">
        <v>1139</v>
      </c>
      <c r="F145" s="146">
        <v>3</v>
      </c>
    </row>
    <row r="146" spans="4:6">
      <c r="D146" s="145" t="s">
        <v>1140</v>
      </c>
      <c r="F146" s="197">
        <v>4</v>
      </c>
    </row>
  </sheetData>
  <mergeCells count="14">
    <mergeCell ref="A102:E102"/>
    <mergeCell ref="A104:E104"/>
    <mergeCell ref="A121:E121"/>
    <mergeCell ref="A123:E123"/>
    <mergeCell ref="A44:E44"/>
    <mergeCell ref="A61:E61"/>
    <mergeCell ref="A63:E63"/>
    <mergeCell ref="A81:E81"/>
    <mergeCell ref="A83:E83"/>
    <mergeCell ref="A2:E2"/>
    <mergeCell ref="A4:E4"/>
    <mergeCell ref="A22:E22"/>
    <mergeCell ref="A24:E24"/>
    <mergeCell ref="A42:E42"/>
  </mergeCells>
  <pageMargins left="0.69861111111111096" right="0.69861111111111096" top="0.75" bottom="0.75" header="0.51111111111111096" footer="0.51111111111111096"/>
  <pageSetup orientation="portrait" horizontalDpi="300" verticalDpi="300"/>
  <headerFooter scaleWithDoc="0"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8"/>
  <sheetViews>
    <sheetView zoomScale="115" zoomScaleNormal="115" workbookViewId="0">
      <selection activeCell="E9" sqref="E9"/>
    </sheetView>
  </sheetViews>
  <sheetFormatPr defaultColWidth="9.109375" defaultRowHeight="13.2"/>
  <cols>
    <col min="1" max="1" width="24.21875" style="144" customWidth="1"/>
    <col min="2" max="2" width="17.6640625" style="144" customWidth="1"/>
    <col min="3" max="3" width="26" style="198" customWidth="1"/>
    <col min="4" max="4" width="43"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1141</v>
      </c>
      <c r="B2" s="505"/>
      <c r="C2" s="505"/>
      <c r="D2" s="505"/>
      <c r="E2" s="505"/>
    </row>
    <row r="4" spans="1:5" s="196" customFormat="1" ht="15">
      <c r="A4" s="505" t="s">
        <v>1142</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18" si="0">A7+B7</f>
        <v>1</v>
      </c>
      <c r="B8" s="144">
        <v>1</v>
      </c>
      <c r="C8" s="198" t="s">
        <v>525</v>
      </c>
      <c r="D8" s="145" t="s">
        <v>909</v>
      </c>
    </row>
    <row r="9" spans="1:5" ht="147.75" customHeight="1">
      <c r="A9" s="144">
        <f t="shared" si="0"/>
        <v>2</v>
      </c>
      <c r="B9" s="144">
        <v>1</v>
      </c>
      <c r="C9" s="198" t="s">
        <v>1143</v>
      </c>
      <c r="D9" s="199" t="s">
        <v>385</v>
      </c>
    </row>
    <row r="10" spans="1:5" ht="45.6">
      <c r="A10" s="144">
        <f t="shared" si="0"/>
        <v>3</v>
      </c>
      <c r="B10" s="144">
        <v>2</v>
      </c>
      <c r="C10" s="10" t="s">
        <v>1144</v>
      </c>
      <c r="D10" s="145" t="s">
        <v>1145</v>
      </c>
      <c r="E10" s="156"/>
    </row>
    <row r="11" spans="1:5" s="197" customFormat="1">
      <c r="A11" s="144">
        <f t="shared" si="0"/>
        <v>5</v>
      </c>
      <c r="B11" s="200">
        <v>2</v>
      </c>
      <c r="C11" s="200" t="s">
        <v>121</v>
      </c>
      <c r="D11" s="201" t="s">
        <v>766</v>
      </c>
    </row>
    <row r="12" spans="1:5" s="197" customFormat="1" ht="39.6">
      <c r="A12" s="144">
        <f t="shared" si="0"/>
        <v>7</v>
      </c>
      <c r="B12" s="200">
        <v>3</v>
      </c>
      <c r="C12" s="10" t="s">
        <v>120</v>
      </c>
      <c r="D12" s="145" t="str">
        <f>DEC2HEX(A18-5)</f>
        <v>F</v>
      </c>
    </row>
    <row r="13" spans="1:5" s="197" customFormat="1">
      <c r="A13" s="144">
        <f t="shared" si="0"/>
        <v>10</v>
      </c>
      <c r="B13" s="200">
        <v>1</v>
      </c>
      <c r="C13" s="10" t="s">
        <v>118</v>
      </c>
      <c r="D13" s="145" t="s">
        <v>119</v>
      </c>
    </row>
    <row r="14" spans="1:5">
      <c r="A14" s="144">
        <f t="shared" si="0"/>
        <v>11</v>
      </c>
      <c r="B14" s="144">
        <v>2</v>
      </c>
      <c r="C14" s="10" t="s">
        <v>123</v>
      </c>
      <c r="D14" s="145" t="s">
        <v>1146</v>
      </c>
    </row>
    <row r="15" spans="1:5">
      <c r="A15" s="144">
        <f t="shared" si="0"/>
        <v>13</v>
      </c>
      <c r="B15" s="144">
        <v>2</v>
      </c>
      <c r="C15" s="144" t="s">
        <v>127</v>
      </c>
      <c r="D15" s="145" t="s">
        <v>128</v>
      </c>
    </row>
    <row r="16" spans="1:5" ht="22.8">
      <c r="A16" s="144">
        <f t="shared" si="0"/>
        <v>15</v>
      </c>
      <c r="B16" s="144">
        <v>4</v>
      </c>
      <c r="C16" s="144" t="s">
        <v>129</v>
      </c>
      <c r="D16" s="145" t="s">
        <v>130</v>
      </c>
    </row>
    <row r="17" spans="1:5">
      <c r="A17" s="144">
        <f t="shared" si="0"/>
        <v>19</v>
      </c>
      <c r="B17" s="144">
        <v>1</v>
      </c>
      <c r="C17" s="144" t="s">
        <v>131</v>
      </c>
      <c r="D17" s="145" t="s">
        <v>132</v>
      </c>
    </row>
    <row r="18" spans="1:5">
      <c r="A18" s="144">
        <f t="shared" si="0"/>
        <v>20</v>
      </c>
      <c r="B18" s="157" t="s">
        <v>486</v>
      </c>
    </row>
    <row r="24" spans="1:5" ht="15">
      <c r="A24" s="505" t="s">
        <v>1147</v>
      </c>
      <c r="B24" s="505"/>
      <c r="C24" s="505"/>
      <c r="D24" s="505"/>
      <c r="E24" s="505"/>
    </row>
    <row r="26" spans="1:5" s="196" customFormat="1" ht="15">
      <c r="A26" s="505" t="s">
        <v>1142</v>
      </c>
      <c r="B26" s="505"/>
      <c r="C26" s="505"/>
      <c r="D26" s="505"/>
      <c r="E26" s="505"/>
    </row>
    <row r="27" spans="1:5" ht="15">
      <c r="A27" s="151"/>
      <c r="B27" s="155"/>
      <c r="D27" s="175"/>
    </row>
    <row r="28" spans="1:5" s="155" customFormat="1" ht="18" customHeight="1">
      <c r="A28" s="152" t="s">
        <v>110</v>
      </c>
      <c r="B28" s="152" t="s">
        <v>111</v>
      </c>
      <c r="C28" s="153" t="s">
        <v>112</v>
      </c>
      <c r="D28" s="168" t="s">
        <v>113</v>
      </c>
    </row>
    <row r="29" spans="1:5">
      <c r="A29" s="144">
        <v>0</v>
      </c>
      <c r="B29" s="144">
        <v>1</v>
      </c>
      <c r="C29" s="198" t="s">
        <v>114</v>
      </c>
      <c r="D29" s="145" t="s">
        <v>115</v>
      </c>
    </row>
    <row r="30" spans="1:5">
      <c r="A30" s="144">
        <f t="shared" ref="A30:A40" si="1">A29+B29</f>
        <v>1</v>
      </c>
      <c r="B30" s="144">
        <v>1</v>
      </c>
      <c r="C30" s="198" t="s">
        <v>525</v>
      </c>
      <c r="D30" s="145" t="s">
        <v>909</v>
      </c>
    </row>
    <row r="31" spans="1:5" ht="144.75" customHeight="1">
      <c r="A31" s="144">
        <f t="shared" si="1"/>
        <v>2</v>
      </c>
      <c r="B31" s="144">
        <v>1</v>
      </c>
      <c r="C31" s="198" t="s">
        <v>1143</v>
      </c>
      <c r="D31" s="199" t="s">
        <v>1148</v>
      </c>
    </row>
    <row r="32" spans="1:5" ht="45.6">
      <c r="A32" s="144">
        <f t="shared" si="1"/>
        <v>3</v>
      </c>
      <c r="B32" s="144">
        <v>2</v>
      </c>
      <c r="C32" s="10" t="s">
        <v>1144</v>
      </c>
      <c r="D32" s="145" t="s">
        <v>1145</v>
      </c>
      <c r="E32" s="156"/>
    </row>
    <row r="33" spans="1:5" s="197" customFormat="1">
      <c r="A33" s="144">
        <f t="shared" si="1"/>
        <v>5</v>
      </c>
      <c r="B33" s="200">
        <v>2</v>
      </c>
      <c r="C33" s="200" t="s">
        <v>121</v>
      </c>
      <c r="D33" s="201" t="s">
        <v>766</v>
      </c>
    </row>
    <row r="34" spans="1:5" s="197" customFormat="1" ht="39.6">
      <c r="A34" s="144">
        <f t="shared" si="1"/>
        <v>7</v>
      </c>
      <c r="B34" s="200">
        <v>3</v>
      </c>
      <c r="C34" s="10" t="s">
        <v>120</v>
      </c>
      <c r="D34" s="145" t="str">
        <f>DEC2HEX(A40-5)</f>
        <v>F</v>
      </c>
    </row>
    <row r="35" spans="1:5" s="197" customFormat="1">
      <c r="A35" s="144">
        <f t="shared" si="1"/>
        <v>10</v>
      </c>
      <c r="B35" s="200">
        <v>1</v>
      </c>
      <c r="C35" s="10" t="s">
        <v>118</v>
      </c>
      <c r="D35" s="145" t="s">
        <v>119</v>
      </c>
    </row>
    <row r="36" spans="1:5">
      <c r="A36" s="144">
        <f t="shared" si="1"/>
        <v>11</v>
      </c>
      <c r="B36" s="144">
        <v>2</v>
      </c>
      <c r="C36" s="10" t="s">
        <v>123</v>
      </c>
      <c r="D36" s="145" t="s">
        <v>1146</v>
      </c>
    </row>
    <row r="37" spans="1:5">
      <c r="A37" s="144">
        <f t="shared" si="1"/>
        <v>13</v>
      </c>
      <c r="B37" s="144">
        <v>2</v>
      </c>
      <c r="C37" s="144" t="s">
        <v>127</v>
      </c>
      <c r="D37" s="145" t="s">
        <v>128</v>
      </c>
    </row>
    <row r="38" spans="1:5" ht="22.8">
      <c r="A38" s="144">
        <f t="shared" si="1"/>
        <v>15</v>
      </c>
      <c r="B38" s="144">
        <v>4</v>
      </c>
      <c r="C38" s="144" t="s">
        <v>129</v>
      </c>
      <c r="D38" s="145" t="s">
        <v>130</v>
      </c>
    </row>
    <row r="39" spans="1:5">
      <c r="A39" s="144">
        <f t="shared" si="1"/>
        <v>19</v>
      </c>
      <c r="B39" s="144">
        <v>1</v>
      </c>
      <c r="C39" s="144" t="s">
        <v>131</v>
      </c>
      <c r="D39" s="145" t="s">
        <v>132</v>
      </c>
    </row>
    <row r="40" spans="1:5">
      <c r="A40" s="144">
        <f t="shared" si="1"/>
        <v>20</v>
      </c>
      <c r="B40" s="157" t="s">
        <v>486</v>
      </c>
    </row>
    <row r="44" spans="1:5" ht="15">
      <c r="A44" s="505" t="s">
        <v>907</v>
      </c>
      <c r="B44" s="505"/>
      <c r="C44" s="505"/>
      <c r="D44" s="505"/>
      <c r="E44" s="505"/>
    </row>
    <row r="46" spans="1:5" s="196" customFormat="1" ht="15">
      <c r="A46" s="505" t="s">
        <v>1149</v>
      </c>
      <c r="B46" s="505"/>
      <c r="C46" s="505"/>
      <c r="D46" s="505"/>
      <c r="E46" s="505"/>
    </row>
    <row r="47" spans="1:5" ht="15">
      <c r="A47" s="151"/>
      <c r="B47" s="155"/>
      <c r="D47" s="175"/>
    </row>
    <row r="48" spans="1:5" s="155" customFormat="1" ht="18" customHeight="1">
      <c r="A48" s="152" t="s">
        <v>110</v>
      </c>
      <c r="B48" s="152" t="s">
        <v>111</v>
      </c>
      <c r="C48" s="153" t="s">
        <v>112</v>
      </c>
      <c r="D48" s="168" t="s">
        <v>113</v>
      </c>
    </row>
    <row r="49" spans="1:5">
      <c r="A49" s="144">
        <v>0</v>
      </c>
      <c r="B49" s="144">
        <v>1</v>
      </c>
      <c r="C49" s="198" t="s">
        <v>114</v>
      </c>
      <c r="D49" s="145" t="s">
        <v>115</v>
      </c>
    </row>
    <row r="50" spans="1:5">
      <c r="A50" s="144">
        <f t="shared" ref="A50:A58" si="2">A49+B49</f>
        <v>1</v>
      </c>
      <c r="B50" s="144">
        <v>1</v>
      </c>
      <c r="C50" s="198" t="s">
        <v>770</v>
      </c>
      <c r="D50" s="145" t="s">
        <v>909</v>
      </c>
    </row>
    <row r="51" spans="1:5" ht="26.4">
      <c r="A51" s="144">
        <f t="shared" si="2"/>
        <v>2</v>
      </c>
      <c r="B51" s="144">
        <v>1</v>
      </c>
      <c r="C51" s="198" t="s">
        <v>910</v>
      </c>
      <c r="D51" s="199" t="s">
        <v>911</v>
      </c>
    </row>
    <row r="52" spans="1:5">
      <c r="A52" s="144">
        <f t="shared" si="2"/>
        <v>3</v>
      </c>
      <c r="B52" s="144">
        <v>2</v>
      </c>
      <c r="C52" s="10" t="s">
        <v>1088</v>
      </c>
      <c r="D52" s="145" t="s">
        <v>1150</v>
      </c>
      <c r="E52" s="156"/>
    </row>
    <row r="53" spans="1:5" s="197" customFormat="1">
      <c r="A53" s="144">
        <f t="shared" si="2"/>
        <v>5</v>
      </c>
      <c r="B53" s="200">
        <v>2</v>
      </c>
      <c r="C53" s="200" t="s">
        <v>121</v>
      </c>
      <c r="D53" s="201" t="s">
        <v>766</v>
      </c>
    </row>
    <row r="54" spans="1:5" s="197" customFormat="1" ht="39.6">
      <c r="A54" s="144">
        <f t="shared" si="2"/>
        <v>7</v>
      </c>
      <c r="B54" s="200">
        <v>3</v>
      </c>
      <c r="C54" s="10" t="s">
        <v>120</v>
      </c>
      <c r="D54" s="145" t="str">
        <f>DEC2HEX(A58-5)</f>
        <v>C</v>
      </c>
    </row>
    <row r="55" spans="1:5">
      <c r="A55" s="144">
        <f t="shared" si="2"/>
        <v>10</v>
      </c>
      <c r="B55" s="144">
        <v>2</v>
      </c>
      <c r="C55" s="144" t="s">
        <v>127</v>
      </c>
      <c r="D55" s="145" t="s">
        <v>128</v>
      </c>
    </row>
    <row r="56" spans="1:5" ht="22.8">
      <c r="A56" s="144">
        <f t="shared" si="2"/>
        <v>12</v>
      </c>
      <c r="B56" s="144">
        <v>4</v>
      </c>
      <c r="C56" s="144" t="s">
        <v>129</v>
      </c>
      <c r="D56" s="145" t="s">
        <v>130</v>
      </c>
    </row>
    <row r="57" spans="1:5">
      <c r="A57" s="144">
        <f t="shared" si="2"/>
        <v>16</v>
      </c>
      <c r="B57" s="144">
        <v>1</v>
      </c>
      <c r="C57" s="144" t="s">
        <v>131</v>
      </c>
      <c r="D57" s="145" t="s">
        <v>132</v>
      </c>
    </row>
    <row r="58" spans="1:5">
      <c r="A58" s="144">
        <f t="shared" si="2"/>
        <v>17</v>
      </c>
      <c r="B58" s="157" t="s">
        <v>486</v>
      </c>
    </row>
  </sheetData>
  <mergeCells count="6">
    <mergeCell ref="A46:E46"/>
    <mergeCell ref="A2:E2"/>
    <mergeCell ref="A4:E4"/>
    <mergeCell ref="A24:E24"/>
    <mergeCell ref="A26:E26"/>
    <mergeCell ref="A44:E44"/>
  </mergeCells>
  <pageMargins left="0.75" right="0.75" top="1" bottom="1" header="0.51111111111111096" footer="0.51111111111111096"/>
  <pageSetup orientation="portrait" horizontalDpi="300" verticalDpi="300"/>
  <headerFooter scaleWithDoc="0"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1"/>
  <sheetViews>
    <sheetView zoomScale="115" zoomScaleNormal="115" workbookViewId="0">
      <selection activeCell="E9" sqref="E9"/>
    </sheetView>
  </sheetViews>
  <sheetFormatPr defaultColWidth="9.109375" defaultRowHeight="13.2"/>
  <cols>
    <col min="1" max="1" width="24.21875" style="144" customWidth="1"/>
    <col min="2" max="2" width="17.6640625" style="144" customWidth="1"/>
    <col min="3" max="3" width="26" style="198" customWidth="1"/>
    <col min="4" max="4" width="43"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1151</v>
      </c>
      <c r="B2" s="505"/>
      <c r="C2" s="505"/>
      <c r="D2" s="505"/>
      <c r="E2" s="505"/>
    </row>
    <row r="4" spans="1:5" s="196" customFormat="1" ht="15">
      <c r="A4" s="505" t="s">
        <v>1152</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20" si="0">A7+B7</f>
        <v>1</v>
      </c>
      <c r="B8" s="144">
        <v>1</v>
      </c>
      <c r="C8" s="198" t="s">
        <v>525</v>
      </c>
      <c r="D8" s="145" t="s">
        <v>909</v>
      </c>
    </row>
    <row r="9" spans="1:5" ht="143.25" customHeight="1">
      <c r="A9" s="144">
        <f t="shared" si="0"/>
        <v>2</v>
      </c>
      <c r="B9" s="144">
        <v>1</v>
      </c>
      <c r="C9" s="198" t="s">
        <v>1143</v>
      </c>
      <c r="D9" s="199" t="s">
        <v>385</v>
      </c>
    </row>
    <row r="10" spans="1:5" ht="45.6">
      <c r="A10" s="144">
        <f t="shared" si="0"/>
        <v>3</v>
      </c>
      <c r="B10" s="144">
        <v>2</v>
      </c>
      <c r="C10" s="10" t="s">
        <v>1144</v>
      </c>
      <c r="D10" s="145" t="s">
        <v>1145</v>
      </c>
      <c r="E10" s="156"/>
    </row>
    <row r="11" spans="1:5" s="197" customFormat="1">
      <c r="A11" s="144">
        <f t="shared" si="0"/>
        <v>5</v>
      </c>
      <c r="B11" s="200">
        <v>2</v>
      </c>
      <c r="C11" s="200" t="s">
        <v>121</v>
      </c>
      <c r="D11" s="201" t="s">
        <v>766</v>
      </c>
    </row>
    <row r="12" spans="1:5" s="197" customFormat="1" ht="39.6">
      <c r="A12" s="144">
        <f t="shared" si="0"/>
        <v>7</v>
      </c>
      <c r="B12" s="200">
        <v>3</v>
      </c>
      <c r="C12" s="10" t="s">
        <v>120</v>
      </c>
      <c r="D12" s="145" t="str">
        <f>DEC2HEX(A20-5)</f>
        <v>215</v>
      </c>
    </row>
    <row r="13" spans="1:5" s="197" customFormat="1">
      <c r="A13" s="144">
        <f t="shared" si="0"/>
        <v>10</v>
      </c>
      <c r="B13" s="200">
        <v>1</v>
      </c>
      <c r="C13" s="10" t="s">
        <v>118</v>
      </c>
      <c r="D13" s="145" t="s">
        <v>119</v>
      </c>
    </row>
    <row r="14" spans="1:5">
      <c r="A14" s="144">
        <f t="shared" si="0"/>
        <v>11</v>
      </c>
      <c r="B14" s="144">
        <v>2</v>
      </c>
      <c r="C14" s="10" t="s">
        <v>123</v>
      </c>
      <c r="D14" s="145" t="s">
        <v>1153</v>
      </c>
    </row>
    <row r="15" spans="1:5">
      <c r="A15" s="144">
        <f t="shared" si="0"/>
        <v>13</v>
      </c>
      <c r="B15" s="144">
        <v>6</v>
      </c>
      <c r="C15" s="10" t="s">
        <v>1154</v>
      </c>
      <c r="D15" s="145" t="s">
        <v>1155</v>
      </c>
    </row>
    <row r="16" spans="1:5">
      <c r="A16" s="144">
        <f t="shared" si="0"/>
        <v>19</v>
      </c>
      <c r="B16" s="144">
        <v>512</v>
      </c>
      <c r="C16" s="10" t="s">
        <v>1156</v>
      </c>
      <c r="D16" s="145" t="s">
        <v>1157</v>
      </c>
    </row>
    <row r="17" spans="1:5">
      <c r="A17" s="144">
        <f t="shared" si="0"/>
        <v>531</v>
      </c>
      <c r="B17" s="144">
        <v>2</v>
      </c>
      <c r="C17" s="144" t="s">
        <v>127</v>
      </c>
      <c r="D17" s="145" t="s">
        <v>128</v>
      </c>
    </row>
    <row r="18" spans="1:5" ht="22.8">
      <c r="A18" s="144">
        <f t="shared" si="0"/>
        <v>533</v>
      </c>
      <c r="B18" s="144">
        <v>4</v>
      </c>
      <c r="C18" s="144" t="s">
        <v>129</v>
      </c>
      <c r="D18" s="145" t="s">
        <v>130</v>
      </c>
    </row>
    <row r="19" spans="1:5">
      <c r="A19" s="144">
        <f t="shared" si="0"/>
        <v>537</v>
      </c>
      <c r="B19" s="144">
        <v>1</v>
      </c>
      <c r="C19" s="144" t="s">
        <v>131</v>
      </c>
      <c r="D19" s="145" t="s">
        <v>132</v>
      </c>
    </row>
    <row r="20" spans="1:5">
      <c r="A20" s="144">
        <f t="shared" si="0"/>
        <v>538</v>
      </c>
      <c r="B20" s="157" t="s">
        <v>486</v>
      </c>
    </row>
    <row r="25" spans="1:5" ht="15">
      <c r="A25" s="505" t="s">
        <v>1158</v>
      </c>
      <c r="B25" s="505"/>
      <c r="C25" s="505"/>
      <c r="D25" s="505"/>
      <c r="E25" s="505"/>
    </row>
    <row r="27" spans="1:5" s="196" customFormat="1" ht="15">
      <c r="A27" s="505" t="s">
        <v>1152</v>
      </c>
      <c r="B27" s="505"/>
      <c r="C27" s="505"/>
      <c r="D27" s="505"/>
      <c r="E27" s="505"/>
    </row>
    <row r="28" spans="1:5" ht="15">
      <c r="A28" s="151"/>
      <c r="B28" s="155"/>
      <c r="D28" s="175"/>
    </row>
    <row r="29" spans="1:5" s="155" customFormat="1" ht="18" customHeight="1">
      <c r="A29" s="152" t="s">
        <v>110</v>
      </c>
      <c r="B29" s="152" t="s">
        <v>111</v>
      </c>
      <c r="C29" s="153" t="s">
        <v>112</v>
      </c>
      <c r="D29" s="168" t="s">
        <v>113</v>
      </c>
    </row>
    <row r="30" spans="1:5">
      <c r="A30" s="144">
        <v>0</v>
      </c>
      <c r="B30" s="144">
        <v>1</v>
      </c>
      <c r="C30" s="198" t="s">
        <v>114</v>
      </c>
      <c r="D30" s="145" t="s">
        <v>115</v>
      </c>
    </row>
    <row r="31" spans="1:5">
      <c r="A31" s="144">
        <f t="shared" ref="A31:A43" si="1">A30+B30</f>
        <v>1</v>
      </c>
      <c r="B31" s="144">
        <v>1</v>
      </c>
      <c r="C31" s="198" t="s">
        <v>525</v>
      </c>
      <c r="D31" s="145" t="s">
        <v>909</v>
      </c>
    </row>
    <row r="32" spans="1:5" ht="143.25" customHeight="1">
      <c r="A32" s="144">
        <f t="shared" si="1"/>
        <v>2</v>
      </c>
      <c r="B32" s="144">
        <v>1</v>
      </c>
      <c r="C32" s="198" t="s">
        <v>1143</v>
      </c>
      <c r="D32" s="199" t="s">
        <v>1148</v>
      </c>
    </row>
    <row r="33" spans="1:5" ht="45.6">
      <c r="A33" s="144">
        <f t="shared" si="1"/>
        <v>3</v>
      </c>
      <c r="B33" s="144">
        <v>2</v>
      </c>
      <c r="C33" s="10" t="s">
        <v>1144</v>
      </c>
      <c r="D33" s="145" t="s">
        <v>1145</v>
      </c>
      <c r="E33" s="156"/>
    </row>
    <row r="34" spans="1:5" s="197" customFormat="1">
      <c r="A34" s="144">
        <f t="shared" si="1"/>
        <v>5</v>
      </c>
      <c r="B34" s="200">
        <v>2</v>
      </c>
      <c r="C34" s="200" t="s">
        <v>121</v>
      </c>
      <c r="D34" s="201" t="s">
        <v>766</v>
      </c>
    </row>
    <row r="35" spans="1:5" s="197" customFormat="1" ht="39.6">
      <c r="A35" s="144">
        <f t="shared" si="1"/>
        <v>7</v>
      </c>
      <c r="B35" s="200">
        <v>3</v>
      </c>
      <c r="C35" s="10" t="s">
        <v>120</v>
      </c>
      <c r="D35" s="145" t="str">
        <f>DEC2HEX(A43-5)</f>
        <v>215</v>
      </c>
    </row>
    <row r="36" spans="1:5" s="197" customFormat="1">
      <c r="A36" s="144">
        <f t="shared" si="1"/>
        <v>10</v>
      </c>
      <c r="B36" s="200">
        <v>1</v>
      </c>
      <c r="C36" s="10" t="s">
        <v>118</v>
      </c>
      <c r="D36" s="145" t="s">
        <v>119</v>
      </c>
    </row>
    <row r="37" spans="1:5">
      <c r="A37" s="144">
        <f t="shared" si="1"/>
        <v>11</v>
      </c>
      <c r="B37" s="144">
        <v>2</v>
      </c>
      <c r="C37" s="10" t="s">
        <v>123</v>
      </c>
      <c r="D37" s="145" t="s">
        <v>1153</v>
      </c>
    </row>
    <row r="38" spans="1:5">
      <c r="A38" s="144">
        <f t="shared" si="1"/>
        <v>13</v>
      </c>
      <c r="B38" s="144">
        <v>6</v>
      </c>
      <c r="C38" s="10" t="s">
        <v>1154</v>
      </c>
      <c r="D38" s="145" t="s">
        <v>1155</v>
      </c>
    </row>
    <row r="39" spans="1:5">
      <c r="A39" s="144">
        <f t="shared" si="1"/>
        <v>19</v>
      </c>
      <c r="B39" s="144">
        <v>512</v>
      </c>
      <c r="C39" s="10" t="s">
        <v>1156</v>
      </c>
      <c r="D39" s="145" t="s">
        <v>1157</v>
      </c>
    </row>
    <row r="40" spans="1:5">
      <c r="A40" s="144">
        <f t="shared" si="1"/>
        <v>531</v>
      </c>
      <c r="B40" s="144">
        <v>2</v>
      </c>
      <c r="C40" s="144" t="s">
        <v>127</v>
      </c>
      <c r="D40" s="145" t="s">
        <v>128</v>
      </c>
    </row>
    <row r="41" spans="1:5" ht="22.8">
      <c r="A41" s="144">
        <f t="shared" si="1"/>
        <v>533</v>
      </c>
      <c r="B41" s="144">
        <v>4</v>
      </c>
      <c r="C41" s="144" t="s">
        <v>129</v>
      </c>
      <c r="D41" s="145" t="s">
        <v>130</v>
      </c>
    </row>
    <row r="42" spans="1:5">
      <c r="A42" s="144">
        <f t="shared" si="1"/>
        <v>537</v>
      </c>
      <c r="B42" s="144">
        <v>1</v>
      </c>
      <c r="C42" s="144" t="s">
        <v>131</v>
      </c>
      <c r="D42" s="145" t="s">
        <v>132</v>
      </c>
    </row>
    <row r="43" spans="1:5">
      <c r="A43" s="144">
        <f t="shared" si="1"/>
        <v>538</v>
      </c>
      <c r="B43" s="157" t="s">
        <v>486</v>
      </c>
    </row>
    <row r="47" spans="1:5" ht="15">
      <c r="A47" s="505" t="s">
        <v>907</v>
      </c>
      <c r="B47" s="505"/>
      <c r="C47" s="505"/>
      <c r="D47" s="505"/>
      <c r="E47" s="505"/>
    </row>
    <row r="49" spans="1:5" s="196" customFormat="1" ht="15">
      <c r="A49" s="505" t="s">
        <v>1149</v>
      </c>
      <c r="B49" s="505"/>
      <c r="C49" s="505"/>
      <c r="D49" s="505"/>
      <c r="E49" s="505"/>
    </row>
    <row r="50" spans="1:5" ht="15">
      <c r="A50" s="151"/>
      <c r="B50" s="155"/>
      <c r="D50" s="175"/>
    </row>
    <row r="51" spans="1:5" s="155" customFormat="1" ht="18" customHeight="1">
      <c r="A51" s="152" t="s">
        <v>110</v>
      </c>
      <c r="B51" s="152" t="s">
        <v>111</v>
      </c>
      <c r="C51" s="153" t="s">
        <v>112</v>
      </c>
      <c r="D51" s="168" t="s">
        <v>113</v>
      </c>
    </row>
    <row r="52" spans="1:5">
      <c r="A52" s="144">
        <v>0</v>
      </c>
      <c r="B52" s="144">
        <v>1</v>
      </c>
      <c r="C52" s="198" t="s">
        <v>114</v>
      </c>
      <c r="D52" s="145" t="s">
        <v>115</v>
      </c>
    </row>
    <row r="53" spans="1:5">
      <c r="A53" s="144">
        <f t="shared" ref="A53:A61" si="2">A52+B52</f>
        <v>1</v>
      </c>
      <c r="B53" s="144">
        <v>1</v>
      </c>
      <c r="C53" s="198" t="s">
        <v>770</v>
      </c>
      <c r="D53" s="145" t="s">
        <v>909</v>
      </c>
    </row>
    <row r="54" spans="1:5" ht="26.4">
      <c r="A54" s="144">
        <f t="shared" si="2"/>
        <v>2</v>
      </c>
      <c r="B54" s="144">
        <v>1</v>
      </c>
      <c r="C54" s="198" t="s">
        <v>910</v>
      </c>
      <c r="D54" s="199" t="s">
        <v>911</v>
      </c>
    </row>
    <row r="55" spans="1:5">
      <c r="A55" s="144">
        <f t="shared" si="2"/>
        <v>3</v>
      </c>
      <c r="B55" s="144">
        <v>2</v>
      </c>
      <c r="C55" s="10" t="s">
        <v>1088</v>
      </c>
      <c r="D55" s="145" t="s">
        <v>1150</v>
      </c>
      <c r="E55" s="156"/>
    </row>
    <row r="56" spans="1:5" s="197" customFormat="1">
      <c r="A56" s="144">
        <f t="shared" si="2"/>
        <v>5</v>
      </c>
      <c r="B56" s="200">
        <v>2</v>
      </c>
      <c r="C56" s="200" t="s">
        <v>121</v>
      </c>
      <c r="D56" s="201" t="s">
        <v>766</v>
      </c>
    </row>
    <row r="57" spans="1:5" s="197" customFormat="1" ht="39.6">
      <c r="A57" s="144">
        <f t="shared" si="2"/>
        <v>7</v>
      </c>
      <c r="B57" s="200">
        <v>3</v>
      </c>
      <c r="C57" s="10" t="s">
        <v>120</v>
      </c>
      <c r="D57" s="145" t="str">
        <f>DEC2HEX(A61-5)</f>
        <v>C</v>
      </c>
    </row>
    <row r="58" spans="1:5">
      <c r="A58" s="144">
        <f t="shared" si="2"/>
        <v>10</v>
      </c>
      <c r="B58" s="144">
        <v>2</v>
      </c>
      <c r="C58" s="144" t="s">
        <v>127</v>
      </c>
      <c r="D58" s="145" t="s">
        <v>128</v>
      </c>
    </row>
    <row r="59" spans="1:5" ht="22.8">
      <c r="A59" s="144">
        <f t="shared" si="2"/>
        <v>12</v>
      </c>
      <c r="B59" s="144">
        <v>4</v>
      </c>
      <c r="C59" s="144" t="s">
        <v>129</v>
      </c>
      <c r="D59" s="145" t="s">
        <v>130</v>
      </c>
    </row>
    <row r="60" spans="1:5">
      <c r="A60" s="144">
        <f t="shared" si="2"/>
        <v>16</v>
      </c>
      <c r="B60" s="144">
        <v>1</v>
      </c>
      <c r="C60" s="144" t="s">
        <v>131</v>
      </c>
      <c r="D60" s="145" t="s">
        <v>132</v>
      </c>
    </row>
    <row r="61" spans="1:5">
      <c r="A61" s="144">
        <f t="shared" si="2"/>
        <v>17</v>
      </c>
      <c r="B61" s="157" t="s">
        <v>486</v>
      </c>
    </row>
  </sheetData>
  <mergeCells count="6">
    <mergeCell ref="A49:E49"/>
    <mergeCell ref="A2:E2"/>
    <mergeCell ref="A4:E4"/>
    <mergeCell ref="A25:E25"/>
    <mergeCell ref="A27:E27"/>
    <mergeCell ref="A47:E47"/>
  </mergeCells>
  <pageMargins left="0.75" right="0.75" top="1" bottom="1" header="0.51111111111111096" footer="0.51111111111111096"/>
  <pageSetup orientation="portrait" horizontalDpi="300" verticalDpi="300"/>
  <headerFooter scaleWithDoc="0"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13"/>
  </sheetPr>
  <dimension ref="A1:E97"/>
  <sheetViews>
    <sheetView topLeftCell="A68" zoomScale="115" zoomScaleNormal="115" workbookViewId="0">
      <selection activeCell="E68" sqref="E68"/>
    </sheetView>
  </sheetViews>
  <sheetFormatPr defaultColWidth="9.109375" defaultRowHeight="13.2"/>
  <cols>
    <col min="1" max="1" width="24.21875" style="144" customWidth="1"/>
    <col min="2" max="2" width="17.6640625" style="144" customWidth="1"/>
    <col min="3" max="3" width="26" style="198" customWidth="1"/>
    <col min="4" max="4" width="43"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1159</v>
      </c>
      <c r="B2" s="505"/>
      <c r="C2" s="505"/>
      <c r="D2" s="505"/>
      <c r="E2" s="505"/>
    </row>
    <row r="4" spans="1:5" s="196" customFormat="1" ht="15">
      <c r="A4" s="505" t="s">
        <v>1152</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18" si="0">A7+B7</f>
        <v>1</v>
      </c>
      <c r="B8" s="144">
        <v>1</v>
      </c>
      <c r="C8" s="198" t="s">
        <v>525</v>
      </c>
      <c r="D8" s="145" t="s">
        <v>909</v>
      </c>
    </row>
    <row r="9" spans="1:5" ht="142.5" customHeight="1">
      <c r="A9" s="144">
        <f t="shared" si="0"/>
        <v>2</v>
      </c>
      <c r="B9" s="144">
        <v>1</v>
      </c>
      <c r="C9" s="198" t="s">
        <v>1143</v>
      </c>
      <c r="D9" s="199" t="s">
        <v>1148</v>
      </c>
    </row>
    <row r="10" spans="1:5" ht="34.200000000000003">
      <c r="A10" s="144">
        <f t="shared" si="0"/>
        <v>3</v>
      </c>
      <c r="B10" s="144">
        <v>2</v>
      </c>
      <c r="C10" s="10" t="s">
        <v>1144</v>
      </c>
      <c r="D10" s="145" t="s">
        <v>1160</v>
      </c>
      <c r="E10" s="156"/>
    </row>
    <row r="11" spans="1:5" s="197" customFormat="1">
      <c r="A11" s="144">
        <f t="shared" si="0"/>
        <v>5</v>
      </c>
      <c r="B11" s="200">
        <v>2</v>
      </c>
      <c r="C11" s="200" t="s">
        <v>121</v>
      </c>
      <c r="D11" s="201" t="s">
        <v>766</v>
      </c>
    </row>
    <row r="12" spans="1:5" s="197" customFormat="1" ht="39.6">
      <c r="A12" s="144">
        <f t="shared" si="0"/>
        <v>7</v>
      </c>
      <c r="B12" s="200">
        <v>3</v>
      </c>
      <c r="C12" s="10" t="s">
        <v>120</v>
      </c>
      <c r="D12" s="145" t="str">
        <f>DEC2HEX(A18-5)</f>
        <v>F</v>
      </c>
    </row>
    <row r="13" spans="1:5" s="197" customFormat="1">
      <c r="A13" s="144">
        <f t="shared" si="0"/>
        <v>10</v>
      </c>
      <c r="B13" s="200">
        <v>1</v>
      </c>
      <c r="C13" s="10" t="s">
        <v>118</v>
      </c>
      <c r="D13" s="145" t="s">
        <v>119</v>
      </c>
    </row>
    <row r="14" spans="1:5">
      <c r="A14" s="144">
        <f t="shared" si="0"/>
        <v>11</v>
      </c>
      <c r="B14" s="144">
        <v>2</v>
      </c>
      <c r="C14" s="10" t="s">
        <v>123</v>
      </c>
      <c r="D14" s="145" t="s">
        <v>1161</v>
      </c>
    </row>
    <row r="15" spans="1:5">
      <c r="A15" s="144">
        <f t="shared" si="0"/>
        <v>13</v>
      </c>
      <c r="B15" s="144">
        <v>2</v>
      </c>
      <c r="C15" s="144" t="s">
        <v>127</v>
      </c>
      <c r="D15" s="145" t="s">
        <v>128</v>
      </c>
    </row>
    <row r="16" spans="1:5" ht="22.8">
      <c r="A16" s="144">
        <f t="shared" si="0"/>
        <v>15</v>
      </c>
      <c r="B16" s="144">
        <v>4</v>
      </c>
      <c r="C16" s="144" t="s">
        <v>129</v>
      </c>
      <c r="D16" s="145" t="s">
        <v>130</v>
      </c>
    </row>
    <row r="17" spans="1:5">
      <c r="A17" s="144">
        <f t="shared" si="0"/>
        <v>19</v>
      </c>
      <c r="B17" s="144">
        <v>1</v>
      </c>
      <c r="C17" s="144" t="s">
        <v>131</v>
      </c>
      <c r="D17" s="145" t="s">
        <v>132</v>
      </c>
    </row>
    <row r="18" spans="1:5">
      <c r="A18" s="144">
        <f t="shared" si="0"/>
        <v>20</v>
      </c>
      <c r="B18" s="157" t="s">
        <v>486</v>
      </c>
    </row>
    <row r="22" spans="1:5" ht="15">
      <c r="A22" s="155"/>
      <c r="B22" s="155"/>
    </row>
    <row r="23" spans="1:5" s="202" customFormat="1" ht="15">
      <c r="A23" s="543" t="s">
        <v>1162</v>
      </c>
      <c r="B23" s="543"/>
      <c r="C23" s="543"/>
      <c r="D23" s="543"/>
      <c r="E23" s="543"/>
    </row>
    <row r="24" spans="1:5" s="202" customFormat="1">
      <c r="A24" s="205"/>
      <c r="B24" s="205"/>
      <c r="C24" s="206"/>
      <c r="D24" s="207"/>
    </row>
    <row r="25" spans="1:5" s="203" customFormat="1" ht="15">
      <c r="A25" s="543" t="s">
        <v>1163</v>
      </c>
      <c r="B25" s="543"/>
      <c r="C25" s="543"/>
      <c r="D25" s="543"/>
      <c r="E25" s="543"/>
    </row>
    <row r="26" spans="1:5" s="202" customFormat="1" ht="15">
      <c r="A26" s="204"/>
      <c r="B26" s="208"/>
      <c r="C26" s="206"/>
      <c r="D26" s="209"/>
    </row>
    <row r="27" spans="1:5" s="155" customFormat="1" ht="18" customHeight="1">
      <c r="A27" s="152" t="s">
        <v>110</v>
      </c>
      <c r="B27" s="152" t="s">
        <v>111</v>
      </c>
      <c r="C27" s="153" t="s">
        <v>112</v>
      </c>
      <c r="D27" s="168" t="s">
        <v>113</v>
      </c>
    </row>
    <row r="28" spans="1:5">
      <c r="A28" s="144">
        <v>0</v>
      </c>
      <c r="B28" s="144">
        <v>1</v>
      </c>
      <c r="C28" s="198" t="s">
        <v>114</v>
      </c>
      <c r="D28" s="145" t="s">
        <v>115</v>
      </c>
    </row>
    <row r="29" spans="1:5">
      <c r="A29" s="144">
        <f t="shared" ref="A29:A39" si="1">A28+B28</f>
        <v>1</v>
      </c>
      <c r="B29" s="144">
        <v>1</v>
      </c>
      <c r="C29" s="198" t="s">
        <v>525</v>
      </c>
      <c r="D29" s="145" t="s">
        <v>909</v>
      </c>
    </row>
    <row r="30" spans="1:5">
      <c r="A30" s="144">
        <f t="shared" si="1"/>
        <v>2</v>
      </c>
      <c r="B30" s="144">
        <v>1</v>
      </c>
      <c r="C30" s="198" t="s">
        <v>1143</v>
      </c>
      <c r="D30" s="199" t="s">
        <v>1164</v>
      </c>
    </row>
    <row r="31" spans="1:5">
      <c r="A31" s="144">
        <f t="shared" si="1"/>
        <v>3</v>
      </c>
      <c r="B31" s="144">
        <v>2</v>
      </c>
      <c r="C31" s="10" t="s">
        <v>1144</v>
      </c>
      <c r="D31" s="145" t="s">
        <v>1165</v>
      </c>
      <c r="E31" s="156"/>
    </row>
    <row r="32" spans="1:5" s="197" customFormat="1">
      <c r="A32" s="144">
        <f t="shared" si="1"/>
        <v>5</v>
      </c>
      <c r="B32" s="200">
        <v>2</v>
      </c>
      <c r="C32" s="200" t="s">
        <v>121</v>
      </c>
      <c r="D32" s="201" t="s">
        <v>766</v>
      </c>
    </row>
    <row r="33" spans="1:5" s="197" customFormat="1" ht="39.6">
      <c r="A33" s="144">
        <f t="shared" si="1"/>
        <v>7</v>
      </c>
      <c r="B33" s="200">
        <v>3</v>
      </c>
      <c r="C33" s="10" t="s">
        <v>120</v>
      </c>
      <c r="D33" s="145" t="str">
        <f>DEC2HEX(A39-5)</f>
        <v>E</v>
      </c>
    </row>
    <row r="34" spans="1:5" s="197" customFormat="1">
      <c r="A34" s="144">
        <f t="shared" si="1"/>
        <v>10</v>
      </c>
      <c r="B34" s="200">
        <v>1</v>
      </c>
      <c r="C34" s="10" t="s">
        <v>1166</v>
      </c>
      <c r="D34" s="145" t="s">
        <v>1167</v>
      </c>
    </row>
    <row r="35" spans="1:5" ht="34.200000000000003">
      <c r="A35" s="144">
        <f t="shared" si="1"/>
        <v>11</v>
      </c>
      <c r="B35" s="144">
        <v>1</v>
      </c>
      <c r="C35" s="10" t="s">
        <v>1168</v>
      </c>
      <c r="D35" s="145" t="s">
        <v>1169</v>
      </c>
    </row>
    <row r="36" spans="1:5">
      <c r="A36" s="144">
        <f t="shared" si="1"/>
        <v>12</v>
      </c>
      <c r="B36" s="144">
        <v>2</v>
      </c>
      <c r="C36" s="144" t="s">
        <v>127</v>
      </c>
      <c r="D36" s="145" t="s">
        <v>128</v>
      </c>
    </row>
    <row r="37" spans="1:5" ht="22.8">
      <c r="A37" s="144">
        <f t="shared" si="1"/>
        <v>14</v>
      </c>
      <c r="B37" s="144">
        <v>4</v>
      </c>
      <c r="C37" s="144" t="s">
        <v>129</v>
      </c>
      <c r="D37" s="145" t="s">
        <v>130</v>
      </c>
    </row>
    <row r="38" spans="1:5">
      <c r="A38" s="144">
        <f t="shared" si="1"/>
        <v>18</v>
      </c>
      <c r="B38" s="144">
        <v>1</v>
      </c>
      <c r="C38" s="144" t="s">
        <v>131</v>
      </c>
      <c r="D38" s="145" t="s">
        <v>132</v>
      </c>
    </row>
    <row r="39" spans="1:5">
      <c r="A39" s="144">
        <f t="shared" si="1"/>
        <v>19</v>
      </c>
      <c r="B39" s="157" t="s">
        <v>486</v>
      </c>
    </row>
    <row r="40" spans="1:5">
      <c r="B40" s="157"/>
    </row>
    <row r="41" spans="1:5">
      <c r="B41" s="157"/>
    </row>
    <row r="42" spans="1:5" s="202" customFormat="1" ht="15">
      <c r="A42" s="543" t="s">
        <v>1170</v>
      </c>
      <c r="B42" s="543"/>
      <c r="C42" s="543"/>
      <c r="D42" s="543"/>
      <c r="E42" s="543"/>
    </row>
    <row r="43" spans="1:5" s="202" customFormat="1">
      <c r="A43" s="205"/>
      <c r="B43" s="205"/>
      <c r="C43" s="206"/>
      <c r="D43" s="207"/>
    </row>
    <row r="44" spans="1:5" s="203" customFormat="1" ht="15">
      <c r="A44" s="543" t="s">
        <v>1163</v>
      </c>
      <c r="B44" s="543"/>
      <c r="C44" s="543"/>
      <c r="D44" s="543"/>
      <c r="E44" s="543"/>
    </row>
    <row r="45" spans="1:5" s="202" customFormat="1" ht="15">
      <c r="A45" s="204"/>
      <c r="B45" s="208"/>
      <c r="C45" s="206"/>
      <c r="D45" s="209"/>
    </row>
    <row r="46" spans="1:5" s="155" customFormat="1" ht="18" customHeight="1">
      <c r="A46" s="152" t="s">
        <v>110</v>
      </c>
      <c r="B46" s="152" t="s">
        <v>111</v>
      </c>
      <c r="C46" s="153" t="s">
        <v>112</v>
      </c>
      <c r="D46" s="168" t="s">
        <v>113</v>
      </c>
    </row>
    <row r="47" spans="1:5">
      <c r="A47" s="144">
        <v>0</v>
      </c>
      <c r="B47" s="144">
        <v>1</v>
      </c>
      <c r="C47" s="198" t="s">
        <v>114</v>
      </c>
      <c r="D47" s="145" t="s">
        <v>115</v>
      </c>
    </row>
    <row r="48" spans="1:5">
      <c r="A48" s="144">
        <f t="shared" ref="A48:A58" si="2">A47+B47</f>
        <v>1</v>
      </c>
      <c r="B48" s="144">
        <v>1</v>
      </c>
      <c r="C48" s="198" t="s">
        <v>525</v>
      </c>
      <c r="D48" s="145" t="s">
        <v>909</v>
      </c>
    </row>
    <row r="49" spans="1:5">
      <c r="A49" s="144">
        <f t="shared" si="2"/>
        <v>2</v>
      </c>
      <c r="B49" s="144">
        <v>1</v>
      </c>
      <c r="C49" s="198" t="s">
        <v>1143</v>
      </c>
      <c r="D49" s="199" t="s">
        <v>1171</v>
      </c>
    </row>
    <row r="50" spans="1:5">
      <c r="A50" s="144">
        <f t="shared" si="2"/>
        <v>3</v>
      </c>
      <c r="B50" s="144">
        <v>2</v>
      </c>
      <c r="C50" s="10" t="s">
        <v>1144</v>
      </c>
      <c r="D50" s="145" t="s">
        <v>1165</v>
      </c>
      <c r="E50" s="156"/>
    </row>
    <row r="51" spans="1:5" s="197" customFormat="1">
      <c r="A51" s="144">
        <f t="shared" si="2"/>
        <v>5</v>
      </c>
      <c r="B51" s="200">
        <v>2</v>
      </c>
      <c r="C51" s="200" t="s">
        <v>121</v>
      </c>
      <c r="D51" s="201" t="s">
        <v>766</v>
      </c>
    </row>
    <row r="52" spans="1:5" s="197" customFormat="1" ht="39.6">
      <c r="A52" s="144">
        <f t="shared" si="2"/>
        <v>7</v>
      </c>
      <c r="B52" s="200">
        <v>3</v>
      </c>
      <c r="C52" s="10" t="s">
        <v>120</v>
      </c>
      <c r="D52" s="145" t="str">
        <f>DEC2HEX(A58-5)</f>
        <v>4D</v>
      </c>
    </row>
    <row r="53" spans="1:5" s="197" customFormat="1">
      <c r="A53" s="144">
        <f t="shared" si="2"/>
        <v>10</v>
      </c>
      <c r="B53" s="200">
        <v>1</v>
      </c>
      <c r="C53" s="10" t="s">
        <v>1166</v>
      </c>
      <c r="D53" s="145" t="s">
        <v>1167</v>
      </c>
    </row>
    <row r="54" spans="1:5" ht="91.2">
      <c r="A54" s="144">
        <f t="shared" si="2"/>
        <v>11</v>
      </c>
      <c r="B54" s="144">
        <v>64</v>
      </c>
      <c r="C54" s="10" t="s">
        <v>1168</v>
      </c>
      <c r="D54" s="145" t="s">
        <v>1172</v>
      </c>
    </row>
    <row r="55" spans="1:5">
      <c r="A55" s="144">
        <f t="shared" si="2"/>
        <v>75</v>
      </c>
      <c r="B55" s="144">
        <v>2</v>
      </c>
      <c r="C55" s="144" t="s">
        <v>127</v>
      </c>
      <c r="D55" s="145" t="s">
        <v>128</v>
      </c>
    </row>
    <row r="56" spans="1:5" ht="22.8">
      <c r="A56" s="144">
        <f t="shared" si="2"/>
        <v>77</v>
      </c>
      <c r="B56" s="144">
        <v>4</v>
      </c>
      <c r="C56" s="144" t="s">
        <v>129</v>
      </c>
      <c r="D56" s="145" t="s">
        <v>130</v>
      </c>
    </row>
    <row r="57" spans="1:5">
      <c r="A57" s="144">
        <f t="shared" si="2"/>
        <v>81</v>
      </c>
      <c r="B57" s="144">
        <v>1</v>
      </c>
      <c r="C57" s="144" t="s">
        <v>131</v>
      </c>
      <c r="D57" s="145" t="s">
        <v>132</v>
      </c>
    </row>
    <row r="58" spans="1:5">
      <c r="A58" s="144">
        <f t="shared" si="2"/>
        <v>82</v>
      </c>
      <c r="B58" s="157" t="s">
        <v>486</v>
      </c>
    </row>
    <row r="61" spans="1:5" ht="15">
      <c r="A61" s="505" t="s">
        <v>1173</v>
      </c>
      <c r="B61" s="505"/>
      <c r="C61" s="505"/>
      <c r="D61" s="505"/>
      <c r="E61" s="505"/>
    </row>
    <row r="63" spans="1:5" s="196" customFormat="1" ht="15">
      <c r="A63" s="505" t="s">
        <v>1142</v>
      </c>
      <c r="B63" s="505"/>
      <c r="C63" s="505"/>
      <c r="D63" s="505"/>
      <c r="E63" s="505"/>
    </row>
    <row r="64" spans="1:5" ht="15">
      <c r="A64" s="151"/>
      <c r="B64" s="155"/>
      <c r="D64" s="175"/>
    </row>
    <row r="65" spans="1:5" s="155" customFormat="1" ht="18" customHeight="1">
      <c r="A65" s="152" t="s">
        <v>110</v>
      </c>
      <c r="B65" s="152" t="s">
        <v>111</v>
      </c>
      <c r="C65" s="153" t="s">
        <v>112</v>
      </c>
      <c r="D65" s="168" t="s">
        <v>113</v>
      </c>
    </row>
    <row r="66" spans="1:5">
      <c r="A66" s="144">
        <v>0</v>
      </c>
      <c r="B66" s="144">
        <v>1</v>
      </c>
      <c r="C66" s="198" t="s">
        <v>114</v>
      </c>
      <c r="D66" s="145" t="s">
        <v>115</v>
      </c>
    </row>
    <row r="67" spans="1:5">
      <c r="A67" s="144">
        <f t="shared" ref="A67:A77" si="3">A66+B66</f>
        <v>1</v>
      </c>
      <c r="B67" s="144">
        <v>1</v>
      </c>
      <c r="C67" s="198" t="s">
        <v>525</v>
      </c>
      <c r="D67" s="145" t="s">
        <v>909</v>
      </c>
    </row>
    <row r="68" spans="1:5" ht="144" customHeight="1">
      <c r="A68" s="144">
        <f t="shared" si="3"/>
        <v>2</v>
      </c>
      <c r="B68" s="144">
        <v>1</v>
      </c>
      <c r="C68" s="198" t="s">
        <v>1143</v>
      </c>
      <c r="D68" s="199" t="s">
        <v>385</v>
      </c>
    </row>
    <row r="69" spans="1:5" ht="45.6">
      <c r="A69" s="144">
        <f t="shared" si="3"/>
        <v>3</v>
      </c>
      <c r="B69" s="144">
        <v>2</v>
      </c>
      <c r="C69" s="10" t="s">
        <v>1144</v>
      </c>
      <c r="D69" s="145" t="s">
        <v>1145</v>
      </c>
      <c r="E69" s="156"/>
    </row>
    <row r="70" spans="1:5" s="197" customFormat="1">
      <c r="A70" s="144">
        <f t="shared" si="3"/>
        <v>5</v>
      </c>
      <c r="B70" s="200">
        <v>2</v>
      </c>
      <c r="C70" s="200" t="s">
        <v>121</v>
      </c>
      <c r="D70" s="201" t="s">
        <v>766</v>
      </c>
    </row>
    <row r="71" spans="1:5" s="197" customFormat="1" ht="39.6">
      <c r="A71" s="144">
        <f t="shared" si="3"/>
        <v>7</v>
      </c>
      <c r="B71" s="200">
        <v>3</v>
      </c>
      <c r="C71" s="10" t="s">
        <v>120</v>
      </c>
      <c r="D71" s="145" t="str">
        <f>DEC2HEX(A77-5)</f>
        <v>F</v>
      </c>
    </row>
    <row r="72" spans="1:5" s="197" customFormat="1">
      <c r="A72" s="144">
        <f t="shared" si="3"/>
        <v>10</v>
      </c>
      <c r="B72" s="200">
        <v>1</v>
      </c>
      <c r="C72" s="10" t="s">
        <v>118</v>
      </c>
      <c r="D72" s="145" t="s">
        <v>119</v>
      </c>
    </row>
    <row r="73" spans="1:5">
      <c r="A73" s="144">
        <f t="shared" si="3"/>
        <v>11</v>
      </c>
      <c r="B73" s="144">
        <v>2</v>
      </c>
      <c r="C73" s="10" t="s">
        <v>123</v>
      </c>
      <c r="D73" s="145" t="s">
        <v>1161</v>
      </c>
    </row>
    <row r="74" spans="1:5">
      <c r="A74" s="144">
        <f t="shared" si="3"/>
        <v>13</v>
      </c>
      <c r="B74" s="144">
        <v>2</v>
      </c>
      <c r="C74" s="144" t="s">
        <v>127</v>
      </c>
      <c r="D74" s="145" t="s">
        <v>128</v>
      </c>
    </row>
    <row r="75" spans="1:5" ht="22.8">
      <c r="A75" s="144">
        <f t="shared" si="3"/>
        <v>15</v>
      </c>
      <c r="B75" s="144">
        <v>4</v>
      </c>
      <c r="C75" s="144" t="s">
        <v>129</v>
      </c>
      <c r="D75" s="145" t="s">
        <v>130</v>
      </c>
    </row>
    <row r="76" spans="1:5">
      <c r="A76" s="144">
        <f t="shared" si="3"/>
        <v>19</v>
      </c>
      <c r="B76" s="144">
        <v>1</v>
      </c>
      <c r="C76" s="144" t="s">
        <v>131</v>
      </c>
      <c r="D76" s="145" t="s">
        <v>132</v>
      </c>
    </row>
    <row r="77" spans="1:5">
      <c r="A77" s="144">
        <f t="shared" si="3"/>
        <v>20</v>
      </c>
      <c r="B77" s="157" t="s">
        <v>486</v>
      </c>
    </row>
    <row r="81" spans="1:5" ht="15">
      <c r="A81" s="505" t="s">
        <v>1174</v>
      </c>
      <c r="B81" s="505"/>
      <c r="C81" s="505"/>
      <c r="D81" s="505"/>
      <c r="E81" s="505"/>
    </row>
    <row r="83" spans="1:5" s="196" customFormat="1" ht="15">
      <c r="A83" s="505" t="s">
        <v>1163</v>
      </c>
      <c r="B83" s="505"/>
      <c r="C83" s="505"/>
      <c r="D83" s="505"/>
      <c r="E83" s="505"/>
    </row>
    <row r="84" spans="1:5" ht="15">
      <c r="A84" s="151"/>
      <c r="B84" s="155"/>
      <c r="D84" s="175"/>
    </row>
    <row r="85" spans="1:5" s="155" customFormat="1" ht="18" customHeight="1">
      <c r="A85" s="152" t="s">
        <v>110</v>
      </c>
      <c r="B85" s="152" t="s">
        <v>111</v>
      </c>
      <c r="C85" s="153" t="s">
        <v>112</v>
      </c>
      <c r="D85" s="168" t="s">
        <v>113</v>
      </c>
    </row>
    <row r="86" spans="1:5">
      <c r="A86" s="144">
        <v>0</v>
      </c>
      <c r="B86" s="144">
        <v>1</v>
      </c>
      <c r="C86" s="198" t="s">
        <v>114</v>
      </c>
      <c r="D86" s="145" t="s">
        <v>115</v>
      </c>
    </row>
    <row r="87" spans="1:5">
      <c r="A87" s="144">
        <f t="shared" ref="A87:A97" si="4">A86+B86</f>
        <v>1</v>
      </c>
      <c r="B87" s="144">
        <v>1</v>
      </c>
      <c r="C87" s="198" t="s">
        <v>525</v>
      </c>
      <c r="D87" s="145" t="s">
        <v>909</v>
      </c>
    </row>
    <row r="88" spans="1:5">
      <c r="A88" s="144">
        <f t="shared" si="4"/>
        <v>2</v>
      </c>
      <c r="B88" s="144">
        <v>1</v>
      </c>
      <c r="C88" s="198" t="s">
        <v>1143</v>
      </c>
      <c r="D88" s="199" t="s">
        <v>1171</v>
      </c>
    </row>
    <row r="89" spans="1:5">
      <c r="A89" s="144">
        <f t="shared" si="4"/>
        <v>3</v>
      </c>
      <c r="B89" s="144">
        <v>2</v>
      </c>
      <c r="C89" s="10" t="s">
        <v>1144</v>
      </c>
      <c r="D89" s="145" t="s">
        <v>1165</v>
      </c>
      <c r="E89" s="156"/>
    </row>
    <row r="90" spans="1:5" s="197" customFormat="1">
      <c r="A90" s="144">
        <f t="shared" si="4"/>
        <v>5</v>
      </c>
      <c r="B90" s="200">
        <v>2</v>
      </c>
      <c r="C90" s="200" t="s">
        <v>121</v>
      </c>
      <c r="D90" s="201" t="s">
        <v>766</v>
      </c>
    </row>
    <row r="91" spans="1:5" s="197" customFormat="1" ht="39.6">
      <c r="A91" s="144">
        <f t="shared" si="4"/>
        <v>7</v>
      </c>
      <c r="B91" s="200">
        <v>3</v>
      </c>
      <c r="C91" s="10" t="s">
        <v>120</v>
      </c>
      <c r="D91" s="145" t="str">
        <f>DEC2HEX(A97-5)</f>
        <v>E</v>
      </c>
    </row>
    <row r="92" spans="1:5" s="197" customFormat="1">
      <c r="A92" s="144">
        <f t="shared" si="4"/>
        <v>10</v>
      </c>
      <c r="B92" s="200">
        <v>1</v>
      </c>
      <c r="C92" s="10" t="s">
        <v>1166</v>
      </c>
      <c r="D92" s="145" t="s">
        <v>1167</v>
      </c>
    </row>
    <row r="93" spans="1:5" ht="34.200000000000003">
      <c r="A93" s="144">
        <f t="shared" si="4"/>
        <v>11</v>
      </c>
      <c r="B93" s="144">
        <v>1</v>
      </c>
      <c r="C93" s="10" t="s">
        <v>1168</v>
      </c>
      <c r="D93" s="145" t="s">
        <v>1169</v>
      </c>
    </row>
    <row r="94" spans="1:5">
      <c r="A94" s="144">
        <f t="shared" si="4"/>
        <v>12</v>
      </c>
      <c r="B94" s="144">
        <v>2</v>
      </c>
      <c r="C94" s="144" t="s">
        <v>127</v>
      </c>
      <c r="D94" s="145" t="s">
        <v>128</v>
      </c>
    </row>
    <row r="95" spans="1:5" ht="22.8">
      <c r="A95" s="144">
        <f t="shared" si="4"/>
        <v>14</v>
      </c>
      <c r="B95" s="144">
        <v>4</v>
      </c>
      <c r="C95" s="144" t="s">
        <v>129</v>
      </c>
      <c r="D95" s="145" t="s">
        <v>130</v>
      </c>
    </row>
    <row r="96" spans="1:5">
      <c r="A96" s="144">
        <f t="shared" si="4"/>
        <v>18</v>
      </c>
      <c r="B96" s="144">
        <v>1</v>
      </c>
      <c r="C96" s="144" t="s">
        <v>131</v>
      </c>
      <c r="D96" s="145" t="s">
        <v>132</v>
      </c>
    </row>
    <row r="97" spans="1:2">
      <c r="A97" s="144">
        <f t="shared" si="4"/>
        <v>19</v>
      </c>
      <c r="B97" s="157" t="s">
        <v>486</v>
      </c>
    </row>
  </sheetData>
  <mergeCells count="10">
    <mergeCell ref="A44:E44"/>
    <mergeCell ref="A61:E61"/>
    <mergeCell ref="A63:E63"/>
    <mergeCell ref="A81:E81"/>
    <mergeCell ref="A83:E83"/>
    <mergeCell ref="A2:E2"/>
    <mergeCell ref="A4:E4"/>
    <mergeCell ref="A23:E23"/>
    <mergeCell ref="A25:E25"/>
    <mergeCell ref="A42:E42"/>
  </mergeCells>
  <pageMargins left="0.75" right="0.75" top="1" bottom="1" header="0.51111111111111096" footer="0.51111111111111096"/>
  <pageSetup orientation="portrait" horizontalDpi="300" verticalDpi="300"/>
  <headerFooter scaleWithDoc="0"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59"/>
  <sheetViews>
    <sheetView topLeftCell="A21" zoomScale="115" zoomScaleNormal="115" workbookViewId="0">
      <selection activeCell="E31" sqref="E31"/>
    </sheetView>
  </sheetViews>
  <sheetFormatPr defaultColWidth="9.109375" defaultRowHeight="13.2"/>
  <cols>
    <col min="1" max="1" width="24.21875" style="144" customWidth="1"/>
    <col min="2" max="2" width="17.6640625" style="144" customWidth="1"/>
    <col min="3" max="3" width="26" style="198" customWidth="1"/>
    <col min="4" max="4" width="43" style="145" customWidth="1"/>
    <col min="5" max="5" width="31.21875" style="146" customWidth="1"/>
    <col min="6" max="6" width="11.6640625" style="146" customWidth="1"/>
    <col min="7" max="7" width="3.5546875" style="146" customWidth="1"/>
    <col min="8" max="8" width="4.5546875" style="146" customWidth="1"/>
    <col min="9" max="9" width="9.109375" style="146" customWidth="1"/>
    <col min="10" max="16384" width="9.109375" style="146"/>
  </cols>
  <sheetData>
    <row r="1" spans="1:5" ht="15">
      <c r="A1" s="155"/>
      <c r="B1" s="155"/>
    </row>
    <row r="2" spans="1:5" ht="15">
      <c r="A2" s="505" t="s">
        <v>1175</v>
      </c>
      <c r="B2" s="505"/>
      <c r="C2" s="505"/>
      <c r="D2" s="505"/>
      <c r="E2" s="505"/>
    </row>
    <row r="4" spans="1:5" s="196" customFormat="1" ht="15">
      <c r="A4" s="505" t="s">
        <v>1142</v>
      </c>
      <c r="B4" s="505"/>
      <c r="C4" s="505"/>
      <c r="D4" s="505"/>
      <c r="E4" s="505"/>
    </row>
    <row r="5" spans="1:5" ht="15">
      <c r="A5" s="151"/>
      <c r="B5" s="155"/>
      <c r="D5" s="175"/>
    </row>
    <row r="6" spans="1:5" s="155" customFormat="1" ht="18" customHeight="1">
      <c r="A6" s="152" t="s">
        <v>110</v>
      </c>
      <c r="B6" s="152" t="s">
        <v>111</v>
      </c>
      <c r="C6" s="153" t="s">
        <v>112</v>
      </c>
      <c r="D6" s="168" t="s">
        <v>113</v>
      </c>
    </row>
    <row r="7" spans="1:5">
      <c r="A7" s="144">
        <v>0</v>
      </c>
      <c r="B7" s="144">
        <v>1</v>
      </c>
      <c r="C7" s="198" t="s">
        <v>114</v>
      </c>
      <c r="D7" s="145" t="s">
        <v>115</v>
      </c>
    </row>
    <row r="8" spans="1:5">
      <c r="A8" s="144">
        <f t="shared" ref="A8:A18" si="0">A7+B7</f>
        <v>1</v>
      </c>
      <c r="B8" s="144">
        <v>1</v>
      </c>
      <c r="C8" s="198" t="s">
        <v>525</v>
      </c>
      <c r="D8" s="145" t="s">
        <v>909</v>
      </c>
    </row>
    <row r="9" spans="1:5" ht="142.5" customHeight="1">
      <c r="A9" s="144">
        <f t="shared" si="0"/>
        <v>2</v>
      </c>
      <c r="B9" s="144">
        <v>1</v>
      </c>
      <c r="C9" s="198" t="s">
        <v>1143</v>
      </c>
      <c r="D9" s="199" t="s">
        <v>1148</v>
      </c>
    </row>
    <row r="10" spans="1:5" ht="45.6">
      <c r="A10" s="144">
        <f t="shared" si="0"/>
        <v>3</v>
      </c>
      <c r="B10" s="144">
        <v>2</v>
      </c>
      <c r="C10" s="10" t="s">
        <v>1144</v>
      </c>
      <c r="D10" s="145" t="s">
        <v>1145</v>
      </c>
      <c r="E10" s="156"/>
    </row>
    <row r="11" spans="1:5" s="197" customFormat="1">
      <c r="A11" s="144">
        <f t="shared" si="0"/>
        <v>5</v>
      </c>
      <c r="B11" s="200">
        <v>2</v>
      </c>
      <c r="C11" s="200" t="s">
        <v>121</v>
      </c>
      <c r="D11" s="201" t="s">
        <v>766</v>
      </c>
    </row>
    <row r="12" spans="1:5" s="197" customFormat="1" ht="39.6">
      <c r="A12" s="144">
        <f t="shared" si="0"/>
        <v>7</v>
      </c>
      <c r="B12" s="200">
        <v>3</v>
      </c>
      <c r="C12" s="10" t="s">
        <v>120</v>
      </c>
      <c r="D12" s="145" t="str">
        <f>DEC2HEX(A18-5)</f>
        <v>F</v>
      </c>
    </row>
    <row r="13" spans="1:5" s="197" customFormat="1">
      <c r="A13" s="144">
        <f t="shared" si="0"/>
        <v>10</v>
      </c>
      <c r="B13" s="200">
        <v>1</v>
      </c>
      <c r="C13" s="10" t="s">
        <v>118</v>
      </c>
      <c r="D13" s="145" t="s">
        <v>119</v>
      </c>
    </row>
    <row r="14" spans="1:5">
      <c r="A14" s="144">
        <f t="shared" si="0"/>
        <v>11</v>
      </c>
      <c r="B14" s="144">
        <v>2</v>
      </c>
      <c r="C14" s="10" t="s">
        <v>123</v>
      </c>
      <c r="D14" s="145" t="s">
        <v>1176</v>
      </c>
    </row>
    <row r="15" spans="1:5">
      <c r="A15" s="144">
        <f t="shared" si="0"/>
        <v>13</v>
      </c>
      <c r="B15" s="144">
        <v>2</v>
      </c>
      <c r="C15" s="144" t="s">
        <v>127</v>
      </c>
      <c r="D15" s="145" t="s">
        <v>128</v>
      </c>
    </row>
    <row r="16" spans="1:5" ht="22.8">
      <c r="A16" s="144">
        <f t="shared" si="0"/>
        <v>15</v>
      </c>
      <c r="B16" s="144">
        <v>4</v>
      </c>
      <c r="C16" s="144" t="s">
        <v>129</v>
      </c>
      <c r="D16" s="145" t="s">
        <v>130</v>
      </c>
    </row>
    <row r="17" spans="1:5">
      <c r="A17" s="144">
        <f t="shared" si="0"/>
        <v>19</v>
      </c>
      <c r="B17" s="144">
        <v>1</v>
      </c>
      <c r="C17" s="144" t="s">
        <v>131</v>
      </c>
      <c r="D17" s="145" t="s">
        <v>132</v>
      </c>
    </row>
    <row r="18" spans="1:5">
      <c r="A18" s="144">
        <f t="shared" si="0"/>
        <v>20</v>
      </c>
      <c r="B18" s="157" t="s">
        <v>486</v>
      </c>
    </row>
    <row r="24" spans="1:5" ht="15">
      <c r="A24" s="505" t="s">
        <v>1147</v>
      </c>
      <c r="B24" s="505"/>
      <c r="C24" s="505"/>
      <c r="D24" s="505"/>
      <c r="E24" s="505"/>
    </row>
    <row r="26" spans="1:5" s="196" customFormat="1" ht="15">
      <c r="A26" s="505" t="s">
        <v>1142</v>
      </c>
      <c r="B26" s="505"/>
      <c r="C26" s="505"/>
      <c r="D26" s="505"/>
      <c r="E26" s="505"/>
    </row>
    <row r="27" spans="1:5" ht="15">
      <c r="A27" s="151"/>
      <c r="B27" s="155"/>
      <c r="D27" s="175"/>
    </row>
    <row r="28" spans="1:5" s="155" customFormat="1" ht="18" customHeight="1">
      <c r="A28" s="152" t="s">
        <v>110</v>
      </c>
      <c r="B28" s="152" t="s">
        <v>111</v>
      </c>
      <c r="C28" s="153" t="s">
        <v>112</v>
      </c>
      <c r="D28" s="168" t="s">
        <v>113</v>
      </c>
    </row>
    <row r="29" spans="1:5">
      <c r="A29" s="144">
        <v>0</v>
      </c>
      <c r="B29" s="144">
        <v>1</v>
      </c>
      <c r="C29" s="198" t="s">
        <v>114</v>
      </c>
      <c r="D29" s="145" t="s">
        <v>115</v>
      </c>
    </row>
    <row r="30" spans="1:5">
      <c r="A30" s="144">
        <f t="shared" ref="A30:A40" si="1">A29+B29</f>
        <v>1</v>
      </c>
      <c r="B30" s="144">
        <v>1</v>
      </c>
      <c r="C30" s="198" t="s">
        <v>525</v>
      </c>
      <c r="D30" s="145" t="s">
        <v>909</v>
      </c>
    </row>
    <row r="31" spans="1:5" ht="146.25" customHeight="1">
      <c r="A31" s="144">
        <f t="shared" si="1"/>
        <v>2</v>
      </c>
      <c r="B31" s="144">
        <v>1</v>
      </c>
      <c r="C31" s="198" t="s">
        <v>1143</v>
      </c>
      <c r="D31" s="199" t="s">
        <v>385</v>
      </c>
    </row>
    <row r="32" spans="1:5" ht="45.6">
      <c r="A32" s="144">
        <f t="shared" si="1"/>
        <v>3</v>
      </c>
      <c r="B32" s="144">
        <v>2</v>
      </c>
      <c r="C32" s="10" t="s">
        <v>1144</v>
      </c>
      <c r="D32" s="145" t="s">
        <v>1145</v>
      </c>
      <c r="E32" s="156"/>
    </row>
    <row r="33" spans="1:5" s="197" customFormat="1">
      <c r="A33" s="144">
        <f t="shared" si="1"/>
        <v>5</v>
      </c>
      <c r="B33" s="200">
        <v>2</v>
      </c>
      <c r="C33" s="200" t="s">
        <v>121</v>
      </c>
      <c r="D33" s="201" t="s">
        <v>766</v>
      </c>
    </row>
    <row r="34" spans="1:5" s="197" customFormat="1" ht="39.6">
      <c r="A34" s="144">
        <f t="shared" si="1"/>
        <v>7</v>
      </c>
      <c r="B34" s="200">
        <v>3</v>
      </c>
      <c r="C34" s="10" t="s">
        <v>120</v>
      </c>
      <c r="D34" s="145" t="str">
        <f>DEC2HEX(A40-5)</f>
        <v>F</v>
      </c>
    </row>
    <row r="35" spans="1:5" s="197" customFormat="1">
      <c r="A35" s="144">
        <f t="shared" si="1"/>
        <v>10</v>
      </c>
      <c r="B35" s="200">
        <v>1</v>
      </c>
      <c r="C35" s="10" t="s">
        <v>118</v>
      </c>
      <c r="D35" s="145" t="s">
        <v>119</v>
      </c>
    </row>
    <row r="36" spans="1:5">
      <c r="A36" s="144">
        <f t="shared" si="1"/>
        <v>11</v>
      </c>
      <c r="B36" s="144">
        <v>2</v>
      </c>
      <c r="C36" s="10" t="s">
        <v>123</v>
      </c>
      <c r="D36" s="145" t="s">
        <v>1176</v>
      </c>
    </row>
    <row r="37" spans="1:5">
      <c r="A37" s="144">
        <f t="shared" si="1"/>
        <v>13</v>
      </c>
      <c r="B37" s="144">
        <v>2</v>
      </c>
      <c r="C37" s="144" t="s">
        <v>127</v>
      </c>
      <c r="D37" s="145" t="s">
        <v>128</v>
      </c>
    </row>
    <row r="38" spans="1:5" ht="22.8">
      <c r="A38" s="144">
        <f t="shared" si="1"/>
        <v>15</v>
      </c>
      <c r="B38" s="144">
        <v>4</v>
      </c>
      <c r="C38" s="144" t="s">
        <v>129</v>
      </c>
      <c r="D38" s="145" t="s">
        <v>130</v>
      </c>
    </row>
    <row r="39" spans="1:5">
      <c r="A39" s="144">
        <f t="shared" si="1"/>
        <v>19</v>
      </c>
      <c r="B39" s="144">
        <v>1</v>
      </c>
      <c r="C39" s="144" t="s">
        <v>131</v>
      </c>
      <c r="D39" s="145" t="s">
        <v>132</v>
      </c>
    </row>
    <row r="40" spans="1:5">
      <c r="A40" s="144">
        <f t="shared" si="1"/>
        <v>20</v>
      </c>
      <c r="B40" s="157" t="s">
        <v>486</v>
      </c>
    </row>
    <row r="45" spans="1:5" ht="15">
      <c r="A45" s="505" t="s">
        <v>907</v>
      </c>
      <c r="B45" s="505"/>
      <c r="C45" s="505"/>
      <c r="D45" s="505"/>
      <c r="E45" s="505"/>
    </row>
    <row r="47" spans="1:5" s="196" customFormat="1" ht="15">
      <c r="A47" s="505" t="s">
        <v>1149</v>
      </c>
      <c r="B47" s="505"/>
      <c r="C47" s="505"/>
      <c r="D47" s="505"/>
      <c r="E47" s="505"/>
    </row>
    <row r="48" spans="1:5" ht="15">
      <c r="A48" s="151"/>
      <c r="B48" s="155"/>
      <c r="D48" s="175"/>
    </row>
    <row r="49" spans="1:5" s="155" customFormat="1" ht="18" customHeight="1">
      <c r="A49" s="152" t="s">
        <v>110</v>
      </c>
      <c r="B49" s="152" t="s">
        <v>111</v>
      </c>
      <c r="C49" s="153" t="s">
        <v>112</v>
      </c>
      <c r="D49" s="168" t="s">
        <v>113</v>
      </c>
    </row>
    <row r="50" spans="1:5">
      <c r="A50" s="144">
        <v>0</v>
      </c>
      <c r="B50" s="144">
        <v>1</v>
      </c>
      <c r="C50" s="198" t="s">
        <v>114</v>
      </c>
      <c r="D50" s="145" t="s">
        <v>115</v>
      </c>
    </row>
    <row r="51" spans="1:5">
      <c r="A51" s="144">
        <f t="shared" ref="A51:A59" si="2">A50+B50</f>
        <v>1</v>
      </c>
      <c r="B51" s="144">
        <v>1</v>
      </c>
      <c r="C51" s="198" t="s">
        <v>770</v>
      </c>
      <c r="D51" s="145" t="s">
        <v>909</v>
      </c>
    </row>
    <row r="52" spans="1:5" ht="26.4">
      <c r="A52" s="144">
        <f t="shared" si="2"/>
        <v>2</v>
      </c>
      <c r="B52" s="144">
        <v>1</v>
      </c>
      <c r="C52" s="198" t="s">
        <v>910</v>
      </c>
      <c r="D52" s="199" t="s">
        <v>911</v>
      </c>
    </row>
    <row r="53" spans="1:5">
      <c r="A53" s="144">
        <f t="shared" si="2"/>
        <v>3</v>
      </c>
      <c r="B53" s="144">
        <v>2</v>
      </c>
      <c r="C53" s="10" t="s">
        <v>1088</v>
      </c>
      <c r="D53" s="145" t="s">
        <v>1150</v>
      </c>
      <c r="E53" s="156"/>
    </row>
    <row r="54" spans="1:5" s="197" customFormat="1">
      <c r="A54" s="144">
        <f t="shared" si="2"/>
        <v>5</v>
      </c>
      <c r="B54" s="200">
        <v>2</v>
      </c>
      <c r="C54" s="200" t="s">
        <v>121</v>
      </c>
      <c r="D54" s="201" t="s">
        <v>766</v>
      </c>
    </row>
    <row r="55" spans="1:5" s="197" customFormat="1" ht="39.6">
      <c r="A55" s="144">
        <f t="shared" si="2"/>
        <v>7</v>
      </c>
      <c r="B55" s="200">
        <v>3</v>
      </c>
      <c r="C55" s="10" t="s">
        <v>120</v>
      </c>
      <c r="D55" s="145" t="str">
        <f>DEC2HEX(A59-5)</f>
        <v>C</v>
      </c>
    </row>
    <row r="56" spans="1:5">
      <c r="A56" s="144">
        <f t="shared" si="2"/>
        <v>10</v>
      </c>
      <c r="B56" s="144">
        <v>2</v>
      </c>
      <c r="C56" s="144" t="s">
        <v>127</v>
      </c>
      <c r="D56" s="145" t="s">
        <v>128</v>
      </c>
    </row>
    <row r="57" spans="1:5" ht="22.8">
      <c r="A57" s="144">
        <f t="shared" si="2"/>
        <v>12</v>
      </c>
      <c r="B57" s="144">
        <v>4</v>
      </c>
      <c r="C57" s="144" t="s">
        <v>129</v>
      </c>
      <c r="D57" s="145" t="s">
        <v>130</v>
      </c>
    </row>
    <row r="58" spans="1:5">
      <c r="A58" s="144">
        <f t="shared" si="2"/>
        <v>16</v>
      </c>
      <c r="B58" s="144">
        <v>1</v>
      </c>
      <c r="C58" s="144" t="s">
        <v>131</v>
      </c>
      <c r="D58" s="145" t="s">
        <v>132</v>
      </c>
    </row>
    <row r="59" spans="1:5">
      <c r="A59" s="144">
        <f t="shared" si="2"/>
        <v>17</v>
      </c>
      <c r="B59" s="157" t="s">
        <v>486</v>
      </c>
    </row>
  </sheetData>
  <mergeCells count="6">
    <mergeCell ref="A47:E47"/>
    <mergeCell ref="A2:E2"/>
    <mergeCell ref="A4:E4"/>
    <mergeCell ref="A24:E24"/>
    <mergeCell ref="A26:E26"/>
    <mergeCell ref="A45:E45"/>
  </mergeCells>
  <pageMargins left="0.75" right="0.75" top="1" bottom="1" header="0.51111111111111096" footer="0.51111111111111096"/>
  <pageSetup orientation="portrait" horizontalDpi="300" verticalDpi="300"/>
  <headerFooter scaleWithDoc="0"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E39"/>
  <sheetViews>
    <sheetView topLeftCell="A34" workbookViewId="0">
      <selection activeCell="D54" sqref="D54"/>
    </sheetView>
  </sheetViews>
  <sheetFormatPr defaultColWidth="9.109375" defaultRowHeight="15"/>
  <cols>
    <col min="1" max="1" width="21" style="34"/>
    <col min="2" max="2" width="20.21875" style="34"/>
    <col min="3" max="3" width="24.44140625" style="61"/>
    <col min="4" max="4" width="56" style="39" customWidth="1"/>
    <col min="5" max="5" width="31.21875" style="185" customWidth="1"/>
    <col min="6" max="6" width="11.6640625" style="169" customWidth="1"/>
    <col min="7" max="7" width="3.5546875" style="169" customWidth="1"/>
    <col min="8" max="8" width="4.5546875" style="169" customWidth="1"/>
    <col min="9" max="9" width="9.109375" style="169" customWidth="1"/>
    <col min="10" max="16384" width="9.109375" style="169"/>
  </cols>
  <sheetData>
    <row r="2" spans="1:5" ht="15.6">
      <c r="A2" s="544" t="s">
        <v>1177</v>
      </c>
      <c r="B2" s="545"/>
      <c r="C2" s="545"/>
      <c r="D2" s="545"/>
      <c r="E2" s="546"/>
    </row>
    <row r="4" spans="1:5" s="164" customFormat="1" ht="15.6">
      <c r="A4" s="544" t="s">
        <v>1178</v>
      </c>
      <c r="B4" s="545"/>
      <c r="C4" s="545"/>
      <c r="D4" s="545"/>
      <c r="E4" s="546"/>
    </row>
    <row r="5" spans="1:5">
      <c r="A5" s="35"/>
      <c r="D5" s="36"/>
    </row>
    <row r="6" spans="1:5" s="165" customFormat="1" ht="31.2">
      <c r="A6" s="186" t="s">
        <v>110</v>
      </c>
      <c r="B6" s="186" t="s">
        <v>111</v>
      </c>
      <c r="C6" s="187" t="s">
        <v>112</v>
      </c>
      <c r="D6" s="188" t="s">
        <v>113</v>
      </c>
      <c r="E6" s="189" t="s">
        <v>1179</v>
      </c>
    </row>
    <row r="7" spans="1:5">
      <c r="A7" s="34">
        <v>0</v>
      </c>
      <c r="B7" s="34">
        <v>1</v>
      </c>
      <c r="C7" s="61" t="s">
        <v>114</v>
      </c>
      <c r="D7" s="39" t="s">
        <v>115</v>
      </c>
      <c r="E7" s="185" t="s">
        <v>1180</v>
      </c>
    </row>
    <row r="8" spans="1:5">
      <c r="A8" s="34">
        <f t="shared" ref="A8:A16" si="0">A7+B7</f>
        <v>1</v>
      </c>
      <c r="B8" s="34">
        <v>1</v>
      </c>
      <c r="C8" s="61" t="s">
        <v>138</v>
      </c>
      <c r="E8" s="185" t="s">
        <v>1181</v>
      </c>
    </row>
    <row r="9" spans="1:5" ht="45">
      <c r="A9" s="34">
        <f t="shared" si="0"/>
        <v>2</v>
      </c>
      <c r="B9" s="34">
        <v>1</v>
      </c>
      <c r="C9" s="61" t="s">
        <v>1182</v>
      </c>
      <c r="D9" s="190" t="s">
        <v>1183</v>
      </c>
      <c r="E9" s="185" t="s">
        <v>1184</v>
      </c>
    </row>
    <row r="10" spans="1:5" s="166" customFormat="1" ht="45">
      <c r="A10" s="34">
        <f t="shared" si="0"/>
        <v>3</v>
      </c>
      <c r="B10" s="191">
        <v>2</v>
      </c>
      <c r="C10" s="37" t="s">
        <v>120</v>
      </c>
      <c r="D10" s="39" t="str">
        <f>DEC2HEX(A16-5)</f>
        <v>C</v>
      </c>
      <c r="E10" s="192" t="s">
        <v>1185</v>
      </c>
    </row>
    <row r="11" spans="1:5" s="166" customFormat="1" ht="60">
      <c r="A11" s="34">
        <f t="shared" si="0"/>
        <v>5</v>
      </c>
      <c r="B11" s="191">
        <v>2</v>
      </c>
      <c r="C11" s="193" t="s">
        <v>1186</v>
      </c>
      <c r="D11" s="194" t="s">
        <v>1187</v>
      </c>
      <c r="E11" s="192" t="s">
        <v>1188</v>
      </c>
    </row>
    <row r="12" spans="1:5" s="166" customFormat="1">
      <c r="A12" s="34">
        <f t="shared" si="0"/>
        <v>7</v>
      </c>
      <c r="B12" s="191">
        <v>3</v>
      </c>
      <c r="C12" s="191" t="s">
        <v>1189</v>
      </c>
      <c r="D12" s="195" t="s">
        <v>1190</v>
      </c>
      <c r="E12" s="192" t="s">
        <v>1191</v>
      </c>
    </row>
    <row r="13" spans="1:5">
      <c r="A13" s="34">
        <f t="shared" si="0"/>
        <v>10</v>
      </c>
      <c r="B13" s="34">
        <v>2</v>
      </c>
      <c r="C13" s="34" t="s">
        <v>127</v>
      </c>
      <c r="D13" s="39" t="s">
        <v>128</v>
      </c>
      <c r="E13" s="185" t="s">
        <v>1192</v>
      </c>
    </row>
    <row r="14" spans="1:5" ht="30">
      <c r="A14" s="34">
        <f t="shared" si="0"/>
        <v>12</v>
      </c>
      <c r="B14" s="34">
        <v>4</v>
      </c>
      <c r="C14" s="34" t="s">
        <v>129</v>
      </c>
      <c r="D14" s="39" t="s">
        <v>130</v>
      </c>
      <c r="E14" s="185" t="s">
        <v>1193</v>
      </c>
    </row>
    <row r="15" spans="1:5">
      <c r="A15" s="34">
        <f t="shared" si="0"/>
        <v>16</v>
      </c>
      <c r="B15" s="34">
        <v>1</v>
      </c>
      <c r="C15" s="34" t="s">
        <v>131</v>
      </c>
      <c r="D15" s="39" t="s">
        <v>132</v>
      </c>
      <c r="E15" s="185" t="s">
        <v>1194</v>
      </c>
    </row>
    <row r="16" spans="1:5" ht="15.6">
      <c r="A16" s="34">
        <f t="shared" si="0"/>
        <v>17</v>
      </c>
      <c r="B16" s="189" t="s">
        <v>486</v>
      </c>
      <c r="E16" s="185" t="s">
        <v>1195</v>
      </c>
    </row>
    <row r="17" spans="1:5">
      <c r="E17" s="185" t="s">
        <v>1196</v>
      </c>
    </row>
    <row r="18" spans="1:5">
      <c r="E18" s="185" t="s">
        <v>1197</v>
      </c>
    </row>
    <row r="19" spans="1:5">
      <c r="E19" s="185" t="s">
        <v>1198</v>
      </c>
    </row>
    <row r="20" spans="1:5">
      <c r="E20" s="185" t="s">
        <v>1199</v>
      </c>
    </row>
    <row r="21" spans="1:5">
      <c r="E21" s="185" t="s">
        <v>1200</v>
      </c>
    </row>
    <row r="22" spans="1:5">
      <c r="E22" s="185" t="s">
        <v>1201</v>
      </c>
    </row>
    <row r="26" spans="1:5" ht="15.6">
      <c r="A26" s="544" t="s">
        <v>1202</v>
      </c>
      <c r="B26" s="545"/>
      <c r="C26" s="545"/>
      <c r="D26" s="545"/>
      <c r="E26" s="546"/>
    </row>
    <row r="28" spans="1:5" ht="15.6">
      <c r="A28" s="544" t="s">
        <v>1203</v>
      </c>
      <c r="B28" s="545"/>
      <c r="C28" s="545"/>
      <c r="D28" s="545"/>
      <c r="E28" s="546"/>
    </row>
    <row r="29" spans="1:5">
      <c r="A29" s="35"/>
      <c r="D29" s="36"/>
    </row>
    <row r="30" spans="1:5" ht="31.2">
      <c r="A30" s="186" t="s">
        <v>110</v>
      </c>
      <c r="B30" s="186" t="s">
        <v>111</v>
      </c>
      <c r="C30" s="187" t="s">
        <v>112</v>
      </c>
      <c r="D30" s="188" t="s">
        <v>113</v>
      </c>
      <c r="E30" s="189"/>
    </row>
    <row r="31" spans="1:5">
      <c r="A31" s="34">
        <v>0</v>
      </c>
      <c r="B31" s="34">
        <v>1</v>
      </c>
      <c r="C31" s="61" t="s">
        <v>114</v>
      </c>
      <c r="D31" s="39" t="s">
        <v>115</v>
      </c>
    </row>
    <row r="32" spans="1:5">
      <c r="A32" s="34">
        <f t="shared" ref="A32:A39" si="1">A31+B31</f>
        <v>1</v>
      </c>
      <c r="B32" s="34">
        <v>1</v>
      </c>
      <c r="C32" s="61" t="s">
        <v>138</v>
      </c>
      <c r="D32" s="39" t="s">
        <v>1204</v>
      </c>
    </row>
    <row r="33" spans="1:5">
      <c r="A33" s="34">
        <f t="shared" si="1"/>
        <v>2</v>
      </c>
      <c r="B33" s="34">
        <v>1</v>
      </c>
      <c r="C33" s="61" t="s">
        <v>1205</v>
      </c>
      <c r="D33" s="190" t="s">
        <v>1128</v>
      </c>
    </row>
    <row r="34" spans="1:5" ht="45">
      <c r="A34" s="34">
        <f t="shared" si="1"/>
        <v>3</v>
      </c>
      <c r="B34" s="191">
        <v>4</v>
      </c>
      <c r="C34" s="37" t="s">
        <v>120</v>
      </c>
      <c r="D34" s="39" t="str">
        <f>DEC2HEX(A39-5)</f>
        <v>C</v>
      </c>
      <c r="E34" s="192"/>
    </row>
    <row r="35" spans="1:5">
      <c r="A35" s="34">
        <f t="shared" si="1"/>
        <v>7</v>
      </c>
      <c r="B35" s="191">
        <v>3</v>
      </c>
      <c r="C35" s="37" t="s">
        <v>1189</v>
      </c>
      <c r="D35" s="39" t="s">
        <v>1206</v>
      </c>
      <c r="E35" s="192"/>
    </row>
    <row r="36" spans="1:5">
      <c r="A36" s="34">
        <f t="shared" si="1"/>
        <v>10</v>
      </c>
      <c r="B36" s="34">
        <v>2</v>
      </c>
      <c r="C36" s="34" t="s">
        <v>127</v>
      </c>
      <c r="D36" s="39" t="s">
        <v>128</v>
      </c>
    </row>
    <row r="37" spans="1:5" ht="30">
      <c r="A37" s="34">
        <f t="shared" si="1"/>
        <v>12</v>
      </c>
      <c r="B37" s="34">
        <v>4</v>
      </c>
      <c r="C37" s="34" t="s">
        <v>129</v>
      </c>
      <c r="D37" s="39" t="s">
        <v>130</v>
      </c>
    </row>
    <row r="38" spans="1:5">
      <c r="A38" s="34">
        <f t="shared" si="1"/>
        <v>16</v>
      </c>
      <c r="B38" s="34">
        <v>1</v>
      </c>
      <c r="C38" s="34" t="s">
        <v>131</v>
      </c>
      <c r="D38" s="39" t="s">
        <v>132</v>
      </c>
    </row>
    <row r="39" spans="1:5" ht="15.6">
      <c r="A39" s="34">
        <f t="shared" si="1"/>
        <v>17</v>
      </c>
      <c r="B39" s="189" t="s">
        <v>486</v>
      </c>
    </row>
  </sheetData>
  <mergeCells count="4">
    <mergeCell ref="A2:E2"/>
    <mergeCell ref="A4:E4"/>
    <mergeCell ref="A26:E26"/>
    <mergeCell ref="A28:E28"/>
  </mergeCells>
  <pageMargins left="0.69861111111111096" right="0.69861111111111096" top="0.75" bottom="0.75" header="0.51111111111111096" footer="0.51111111111111096"/>
  <pageSetup orientation="portrait" horizontalDpi="300" verticalDpi="300"/>
  <headerFooter scaleWithDoc="0"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55"/>
  <sheetViews>
    <sheetView topLeftCell="A55" workbookViewId="0">
      <selection activeCell="D54" sqref="D54"/>
    </sheetView>
  </sheetViews>
  <sheetFormatPr defaultColWidth="9.109375" defaultRowHeight="15"/>
  <cols>
    <col min="1" max="1" width="21" style="155" customWidth="1"/>
    <col min="2" max="2" width="20.21875" style="155" customWidth="1"/>
    <col min="3" max="3" width="24.44140625" style="167" customWidth="1"/>
    <col min="4" max="4" width="64.21875" style="168" customWidth="1"/>
    <col min="5" max="5" width="31.21875" style="169" customWidth="1"/>
    <col min="6" max="6" width="11.6640625" style="169" customWidth="1"/>
    <col min="7" max="7" width="3.5546875" style="169" customWidth="1"/>
    <col min="8" max="8" width="4.5546875" style="169" customWidth="1"/>
    <col min="9" max="9" width="9.109375" style="169" customWidth="1"/>
    <col min="10" max="16384" width="9.109375" style="169"/>
  </cols>
  <sheetData>
    <row r="1" spans="1:5">
      <c r="A1" s="170"/>
      <c r="B1" s="171"/>
      <c r="C1" s="172"/>
      <c r="D1" s="173" t="s">
        <v>1207</v>
      </c>
      <c r="E1" s="174"/>
    </row>
    <row r="2" spans="1:5">
      <c r="A2" s="170"/>
      <c r="B2" s="171"/>
      <c r="C2" s="172"/>
      <c r="D2" s="173"/>
      <c r="E2" s="174"/>
    </row>
    <row r="3" spans="1:5" ht="15.6">
      <c r="A3" s="542" t="s">
        <v>1208</v>
      </c>
      <c r="B3" s="542"/>
      <c r="C3" s="542"/>
      <c r="D3" s="542"/>
      <c r="E3" s="542"/>
    </row>
    <row r="5" spans="1:5" s="164" customFormat="1" ht="15.6">
      <c r="A5" s="542" t="s">
        <v>1209</v>
      </c>
      <c r="B5" s="542"/>
      <c r="C5" s="542"/>
      <c r="D5" s="542"/>
      <c r="E5" s="542"/>
    </row>
    <row r="6" spans="1:5">
      <c r="A6" s="151"/>
      <c r="D6" s="175"/>
    </row>
    <row r="7" spans="1:5" s="165" customFormat="1" ht="31.2">
      <c r="A7" s="176" t="s">
        <v>110</v>
      </c>
      <c r="B7" s="176" t="s">
        <v>111</v>
      </c>
      <c r="C7" s="177" t="s">
        <v>112</v>
      </c>
      <c r="D7" s="178" t="s">
        <v>113</v>
      </c>
    </row>
    <row r="8" spans="1:5">
      <c r="A8" s="155">
        <v>0</v>
      </c>
      <c r="B8" s="155">
        <v>1</v>
      </c>
      <c r="C8" s="167" t="s">
        <v>114</v>
      </c>
      <c r="D8" s="168" t="s">
        <v>115</v>
      </c>
    </row>
    <row r="9" spans="1:5">
      <c r="A9" s="155">
        <f t="shared" ref="A9:A17" si="0">A8+B8</f>
        <v>1</v>
      </c>
      <c r="B9" s="155">
        <v>1</v>
      </c>
      <c r="C9" s="167" t="s">
        <v>138</v>
      </c>
      <c r="D9" s="168" t="s">
        <v>1204</v>
      </c>
    </row>
    <row r="10" spans="1:5">
      <c r="A10" s="155">
        <f t="shared" si="0"/>
        <v>2</v>
      </c>
      <c r="B10" s="155">
        <v>1</v>
      </c>
      <c r="C10" s="167" t="s">
        <v>1166</v>
      </c>
      <c r="D10" s="179" t="s">
        <v>1210</v>
      </c>
    </row>
    <row r="11" spans="1:5" s="166" customFormat="1" ht="45">
      <c r="A11" s="155">
        <f t="shared" si="0"/>
        <v>3</v>
      </c>
      <c r="B11" s="180">
        <v>4</v>
      </c>
      <c r="C11" s="152" t="s">
        <v>120</v>
      </c>
      <c r="D11" s="168" t="str">
        <f>DEC2HEX(A17-5)</f>
        <v>E</v>
      </c>
    </row>
    <row r="12" spans="1:5" s="166" customFormat="1">
      <c r="A12" s="155">
        <f t="shared" si="0"/>
        <v>7</v>
      </c>
      <c r="B12" s="180">
        <v>2</v>
      </c>
      <c r="C12" s="152" t="s">
        <v>1211</v>
      </c>
      <c r="D12" s="168" t="s">
        <v>1212</v>
      </c>
    </row>
    <row r="13" spans="1:5" s="166" customFormat="1">
      <c r="A13" s="155">
        <f t="shared" si="0"/>
        <v>9</v>
      </c>
      <c r="B13" s="180">
        <v>3</v>
      </c>
      <c r="C13" s="152" t="s">
        <v>1189</v>
      </c>
      <c r="D13" s="168" t="s">
        <v>1206</v>
      </c>
    </row>
    <row r="14" spans="1:5">
      <c r="A14" s="155">
        <f t="shared" si="0"/>
        <v>12</v>
      </c>
      <c r="B14" s="155">
        <v>2</v>
      </c>
      <c r="C14" s="155" t="s">
        <v>127</v>
      </c>
      <c r="D14" s="168" t="s">
        <v>128</v>
      </c>
    </row>
    <row r="15" spans="1:5" ht="30">
      <c r="A15" s="155">
        <f t="shared" si="0"/>
        <v>14</v>
      </c>
      <c r="B15" s="155">
        <v>4</v>
      </c>
      <c r="C15" s="155" t="s">
        <v>129</v>
      </c>
      <c r="D15" s="168" t="s">
        <v>130</v>
      </c>
    </row>
    <row r="16" spans="1:5">
      <c r="A16" s="155">
        <f t="shared" si="0"/>
        <v>18</v>
      </c>
      <c r="B16" s="155">
        <v>1</v>
      </c>
      <c r="C16" s="155" t="s">
        <v>131</v>
      </c>
      <c r="D16" s="168" t="s">
        <v>132</v>
      </c>
    </row>
    <row r="17" spans="1:5" ht="15.6">
      <c r="A17" s="155">
        <f t="shared" si="0"/>
        <v>19</v>
      </c>
      <c r="B17" s="165" t="s">
        <v>486</v>
      </c>
    </row>
    <row r="19" spans="1:5" ht="15.6">
      <c r="A19" s="542" t="s">
        <v>1213</v>
      </c>
      <c r="B19" s="542"/>
      <c r="C19" s="542"/>
      <c r="D19" s="542"/>
      <c r="E19" s="542"/>
    </row>
    <row r="21" spans="1:5" s="164" customFormat="1" ht="15.6">
      <c r="A21" s="542" t="s">
        <v>1214</v>
      </c>
      <c r="B21" s="542"/>
      <c r="C21" s="542"/>
      <c r="D21" s="542"/>
      <c r="E21" s="542"/>
    </row>
    <row r="22" spans="1:5">
      <c r="A22" s="151"/>
      <c r="D22" s="175"/>
    </row>
    <row r="23" spans="1:5" s="165" customFormat="1" ht="31.2">
      <c r="A23" s="176" t="s">
        <v>110</v>
      </c>
      <c r="B23" s="176" t="s">
        <v>111</v>
      </c>
      <c r="C23" s="177" t="s">
        <v>112</v>
      </c>
      <c r="D23" s="178" t="s">
        <v>113</v>
      </c>
    </row>
    <row r="24" spans="1:5">
      <c r="A24" s="155">
        <v>0</v>
      </c>
      <c r="B24" s="155">
        <v>1</v>
      </c>
      <c r="C24" s="167" t="s">
        <v>114</v>
      </c>
      <c r="D24" s="168" t="s">
        <v>115</v>
      </c>
    </row>
    <row r="25" spans="1:5">
      <c r="A25" s="155">
        <f t="shared" ref="A25:A37" si="1">A24+B24</f>
        <v>1</v>
      </c>
      <c r="B25" s="155">
        <v>1</v>
      </c>
      <c r="C25" s="167" t="s">
        <v>138</v>
      </c>
      <c r="D25" s="168" t="s">
        <v>1204</v>
      </c>
    </row>
    <row r="26" spans="1:5">
      <c r="A26" s="155">
        <f t="shared" si="1"/>
        <v>2</v>
      </c>
      <c r="B26" s="155">
        <v>1</v>
      </c>
      <c r="C26" s="167" t="s">
        <v>1215</v>
      </c>
      <c r="D26" s="179" t="s">
        <v>1216</v>
      </c>
    </row>
    <row r="27" spans="1:5" s="166" customFormat="1" ht="45">
      <c r="A27" s="155">
        <f t="shared" si="1"/>
        <v>3</v>
      </c>
      <c r="B27" s="180">
        <v>4</v>
      </c>
      <c r="C27" s="152" t="s">
        <v>120</v>
      </c>
      <c r="D27" s="168" t="str">
        <f>DEC2HEX(A37-5)</f>
        <v>15</v>
      </c>
    </row>
    <row r="28" spans="1:5" s="166" customFormat="1">
      <c r="A28" s="155">
        <f t="shared" si="1"/>
        <v>7</v>
      </c>
      <c r="B28" s="180">
        <v>2</v>
      </c>
      <c r="C28" s="152" t="s">
        <v>3</v>
      </c>
      <c r="D28" s="168" t="s">
        <v>1217</v>
      </c>
    </row>
    <row r="29" spans="1:5" s="166" customFormat="1">
      <c r="A29" s="155">
        <f t="shared" si="1"/>
        <v>9</v>
      </c>
      <c r="B29" s="180">
        <v>1</v>
      </c>
      <c r="C29" s="152" t="s">
        <v>1218</v>
      </c>
      <c r="D29" s="168" t="s">
        <v>1219</v>
      </c>
    </row>
    <row r="30" spans="1:5" s="166" customFormat="1">
      <c r="A30" s="155">
        <f t="shared" si="1"/>
        <v>10</v>
      </c>
      <c r="B30" s="180">
        <v>3</v>
      </c>
      <c r="C30" s="152" t="s">
        <v>1220</v>
      </c>
      <c r="D30" s="168" t="s">
        <v>1221</v>
      </c>
    </row>
    <row r="31" spans="1:5" s="166" customFormat="1">
      <c r="A31" s="155">
        <f t="shared" si="1"/>
        <v>13</v>
      </c>
      <c r="B31" s="180">
        <v>2</v>
      </c>
      <c r="C31" s="152" t="s">
        <v>1222</v>
      </c>
      <c r="D31" s="168" t="s">
        <v>1223</v>
      </c>
    </row>
    <row r="32" spans="1:5" s="166" customFormat="1">
      <c r="A32" s="155">
        <f t="shared" si="1"/>
        <v>15</v>
      </c>
      <c r="B32" s="180">
        <v>2</v>
      </c>
      <c r="C32" s="152" t="s">
        <v>1224</v>
      </c>
      <c r="D32" s="168" t="s">
        <v>1225</v>
      </c>
    </row>
    <row r="33" spans="1:5" s="166" customFormat="1">
      <c r="A33" s="155">
        <f t="shared" si="1"/>
        <v>17</v>
      </c>
      <c r="B33" s="180">
        <v>2</v>
      </c>
      <c r="C33" s="152" t="s">
        <v>1226</v>
      </c>
      <c r="D33" s="168" t="s">
        <v>1225</v>
      </c>
    </row>
    <row r="34" spans="1:5">
      <c r="A34" s="155">
        <f t="shared" si="1"/>
        <v>19</v>
      </c>
      <c r="B34" s="155">
        <v>2</v>
      </c>
      <c r="C34" s="155" t="s">
        <v>127</v>
      </c>
      <c r="D34" s="168" t="s">
        <v>128</v>
      </c>
    </row>
    <row r="35" spans="1:5" ht="30">
      <c r="A35" s="155">
        <f t="shared" si="1"/>
        <v>21</v>
      </c>
      <c r="B35" s="155">
        <v>4</v>
      </c>
      <c r="C35" s="155" t="s">
        <v>129</v>
      </c>
      <c r="D35" s="168" t="s">
        <v>130</v>
      </c>
    </row>
    <row r="36" spans="1:5">
      <c r="A36" s="155">
        <f t="shared" si="1"/>
        <v>25</v>
      </c>
      <c r="B36" s="155">
        <v>1</v>
      </c>
      <c r="C36" s="155" t="s">
        <v>131</v>
      </c>
      <c r="D36" s="168" t="s">
        <v>132</v>
      </c>
    </row>
    <row r="37" spans="1:5" ht="15.6">
      <c r="A37" s="155">
        <f t="shared" si="1"/>
        <v>26</v>
      </c>
      <c r="B37" s="165" t="s">
        <v>486</v>
      </c>
    </row>
    <row r="42" spans="1:5" ht="15.6">
      <c r="A42" s="542" t="s">
        <v>1227</v>
      </c>
      <c r="B42" s="542"/>
      <c r="C42" s="542"/>
      <c r="D42" s="542"/>
      <c r="E42" s="542"/>
    </row>
    <row r="44" spans="1:5" s="164" customFormat="1" ht="15.6">
      <c r="A44" s="542" t="s">
        <v>1203</v>
      </c>
      <c r="B44" s="542"/>
      <c r="C44" s="542"/>
      <c r="D44" s="542"/>
      <c r="E44" s="542"/>
    </row>
    <row r="45" spans="1:5">
      <c r="A45" s="151"/>
      <c r="D45" s="175"/>
    </row>
    <row r="46" spans="1:5" s="165" customFormat="1" ht="31.2">
      <c r="A46" s="176" t="s">
        <v>110</v>
      </c>
      <c r="B46" s="176" t="s">
        <v>111</v>
      </c>
      <c r="C46" s="177" t="s">
        <v>112</v>
      </c>
      <c r="D46" s="178" t="s">
        <v>113</v>
      </c>
    </row>
    <row r="47" spans="1:5">
      <c r="A47" s="155">
        <v>0</v>
      </c>
      <c r="B47" s="155">
        <v>1</v>
      </c>
      <c r="C47" s="167" t="s">
        <v>114</v>
      </c>
      <c r="D47" s="168" t="s">
        <v>115</v>
      </c>
    </row>
    <row r="48" spans="1:5">
      <c r="A48" s="155">
        <f t="shared" ref="A48:A55" si="2">A47+B47</f>
        <v>1</v>
      </c>
      <c r="B48" s="155">
        <v>1</v>
      </c>
      <c r="C48" s="167" t="s">
        <v>138</v>
      </c>
      <c r="D48" s="168" t="s">
        <v>1204</v>
      </c>
    </row>
    <row r="49" spans="1:4">
      <c r="A49" s="155">
        <f t="shared" si="2"/>
        <v>2</v>
      </c>
      <c r="B49" s="155">
        <v>1</v>
      </c>
      <c r="C49" s="167" t="s">
        <v>1205</v>
      </c>
      <c r="D49" s="179" t="s">
        <v>1128</v>
      </c>
    </row>
    <row r="50" spans="1:4" s="166" customFormat="1" ht="45">
      <c r="A50" s="155">
        <f t="shared" si="2"/>
        <v>3</v>
      </c>
      <c r="B50" s="180">
        <v>4</v>
      </c>
      <c r="C50" s="152" t="s">
        <v>120</v>
      </c>
      <c r="D50" s="168" t="str">
        <f>DEC2HEX(A55-5)</f>
        <v>C</v>
      </c>
    </row>
    <row r="51" spans="1:4" s="166" customFormat="1">
      <c r="A51" s="155">
        <f t="shared" si="2"/>
        <v>7</v>
      </c>
      <c r="B51" s="180">
        <v>3</v>
      </c>
      <c r="C51" s="152" t="s">
        <v>1189</v>
      </c>
      <c r="D51" s="168" t="s">
        <v>1206</v>
      </c>
    </row>
    <row r="52" spans="1:4">
      <c r="A52" s="155">
        <f t="shared" si="2"/>
        <v>10</v>
      </c>
      <c r="B52" s="155">
        <v>2</v>
      </c>
      <c r="C52" s="155" t="s">
        <v>127</v>
      </c>
      <c r="D52" s="168" t="s">
        <v>128</v>
      </c>
    </row>
    <row r="53" spans="1:4" ht="30">
      <c r="A53" s="155">
        <f t="shared" si="2"/>
        <v>12</v>
      </c>
      <c r="B53" s="155">
        <v>4</v>
      </c>
      <c r="C53" s="155" t="s">
        <v>129</v>
      </c>
      <c r="D53" s="168" t="s">
        <v>130</v>
      </c>
    </row>
    <row r="54" spans="1:4">
      <c r="A54" s="155">
        <f t="shared" si="2"/>
        <v>16</v>
      </c>
      <c r="B54" s="155">
        <v>1</v>
      </c>
      <c r="C54" s="155" t="s">
        <v>131</v>
      </c>
      <c r="D54" s="168" t="s">
        <v>132</v>
      </c>
    </row>
    <row r="55" spans="1:4" ht="15.6">
      <c r="A55" s="155">
        <f t="shared" si="2"/>
        <v>17</v>
      </c>
      <c r="B55" s="165" t="s">
        <v>486</v>
      </c>
    </row>
  </sheetData>
  <mergeCells count="6">
    <mergeCell ref="A44:E44"/>
    <mergeCell ref="A3:E3"/>
    <mergeCell ref="A5:E5"/>
    <mergeCell ref="A19:E19"/>
    <mergeCell ref="A21:E21"/>
    <mergeCell ref="A42:E42"/>
  </mergeCells>
  <pageMargins left="0.69861111111111096" right="0.69861111111111096" top="0.75" bottom="0.75" header="0.51111111111111096" footer="0.51111111111111096"/>
  <pageSetup paperSize="9" orientation="portrait" horizontalDpi="300" verticalDpi="300"/>
  <headerFooter scaleWithDoc="0"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72"/>
  <sheetViews>
    <sheetView topLeftCell="A69" workbookViewId="0">
      <selection activeCell="D54" sqref="D54"/>
    </sheetView>
  </sheetViews>
  <sheetFormatPr defaultColWidth="9.109375" defaultRowHeight="15"/>
  <cols>
    <col min="1" max="1" width="21" style="155" customWidth="1"/>
    <col min="2" max="2" width="20.21875" style="155" customWidth="1"/>
    <col min="3" max="3" width="24.44140625" style="167" customWidth="1"/>
    <col min="4" max="4" width="64.21875" style="168" customWidth="1"/>
    <col min="5" max="5" width="31.21875" style="169" customWidth="1"/>
    <col min="6" max="6" width="11.6640625" style="169" customWidth="1"/>
    <col min="7" max="7" width="3.5546875" style="169" customWidth="1"/>
    <col min="8" max="8" width="4.5546875" style="169" customWidth="1"/>
    <col min="9" max="9" width="9.109375" style="169" customWidth="1"/>
    <col min="10" max="16384" width="9.109375" style="169"/>
  </cols>
  <sheetData>
    <row r="1" spans="1:5">
      <c r="A1" s="170"/>
      <c r="B1" s="171"/>
      <c r="C1" s="172"/>
      <c r="D1" s="173" t="s">
        <v>1228</v>
      </c>
      <c r="E1" s="174"/>
    </row>
    <row r="2" spans="1:5">
      <c r="A2" s="170"/>
      <c r="B2" s="171"/>
      <c r="C2" s="172"/>
      <c r="D2" s="173"/>
      <c r="E2" s="174"/>
    </row>
    <row r="3" spans="1:5" ht="15.6">
      <c r="A3" s="542" t="s">
        <v>1229</v>
      </c>
      <c r="B3" s="542"/>
      <c r="C3" s="542"/>
      <c r="D3" s="542"/>
      <c r="E3" s="542"/>
    </row>
    <row r="5" spans="1:5" s="164" customFormat="1" ht="15.6">
      <c r="A5" s="542" t="s">
        <v>1230</v>
      </c>
      <c r="B5" s="542"/>
      <c r="C5" s="542"/>
      <c r="D5" s="542"/>
      <c r="E5" s="542"/>
    </row>
    <row r="6" spans="1:5">
      <c r="A6" s="151"/>
      <c r="D6" s="175"/>
    </row>
    <row r="7" spans="1:5" s="165" customFormat="1" ht="31.2">
      <c r="A7" s="176" t="s">
        <v>110</v>
      </c>
      <c r="B7" s="176" t="s">
        <v>111</v>
      </c>
      <c r="C7" s="177" t="s">
        <v>112</v>
      </c>
      <c r="D7" s="178" t="s">
        <v>113</v>
      </c>
    </row>
    <row r="8" spans="1:5">
      <c r="A8" s="155">
        <v>0</v>
      </c>
      <c r="B8" s="155">
        <v>1</v>
      </c>
      <c r="C8" s="167" t="s">
        <v>114</v>
      </c>
      <c r="D8" s="168" t="s">
        <v>115</v>
      </c>
      <c r="E8" s="169" t="s">
        <v>1231</v>
      </c>
    </row>
    <row r="9" spans="1:5">
      <c r="A9" s="155">
        <f t="shared" ref="A9:A18" si="0">A8+B8</f>
        <v>1</v>
      </c>
      <c r="B9" s="155">
        <v>1</v>
      </c>
      <c r="C9" s="167" t="s">
        <v>138</v>
      </c>
      <c r="D9" s="168" t="s">
        <v>1204</v>
      </c>
      <c r="E9" s="169" t="s">
        <v>1232</v>
      </c>
    </row>
    <row r="10" spans="1:5">
      <c r="A10" s="155">
        <f t="shared" si="0"/>
        <v>2</v>
      </c>
      <c r="B10" s="155">
        <v>1</v>
      </c>
      <c r="C10" s="167" t="s">
        <v>1166</v>
      </c>
      <c r="D10" s="179" t="s">
        <v>1210</v>
      </c>
    </row>
    <row r="11" spans="1:5" s="166" customFormat="1" ht="45">
      <c r="A11" s="155">
        <f t="shared" si="0"/>
        <v>3</v>
      </c>
      <c r="B11" s="180">
        <v>4</v>
      </c>
      <c r="C11" s="152" t="s">
        <v>120</v>
      </c>
      <c r="D11" s="168" t="str">
        <f>DEC2HEX(A18-5)</f>
        <v>F</v>
      </c>
    </row>
    <row r="12" spans="1:5" s="166" customFormat="1">
      <c r="A12" s="155">
        <f t="shared" si="0"/>
        <v>7</v>
      </c>
      <c r="B12" s="180">
        <v>2</v>
      </c>
      <c r="C12" s="152" t="s">
        <v>1233</v>
      </c>
      <c r="D12" s="168" t="s">
        <v>1234</v>
      </c>
    </row>
    <row r="13" spans="1:5" s="166" customFormat="1">
      <c r="A13" s="155">
        <f t="shared" si="0"/>
        <v>9</v>
      </c>
      <c r="B13" s="180">
        <v>1</v>
      </c>
      <c r="C13" s="152" t="s">
        <v>1235</v>
      </c>
      <c r="D13" s="168" t="s">
        <v>1219</v>
      </c>
    </row>
    <row r="14" spans="1:5" s="166" customFormat="1">
      <c r="A14" s="155">
        <f t="shared" si="0"/>
        <v>10</v>
      </c>
      <c r="B14" s="180">
        <v>3</v>
      </c>
      <c r="C14" s="152" t="s">
        <v>1236</v>
      </c>
      <c r="D14" s="168" t="s">
        <v>1221</v>
      </c>
    </row>
    <row r="15" spans="1:5">
      <c r="A15" s="155">
        <f t="shared" si="0"/>
        <v>13</v>
      </c>
      <c r="B15" s="155">
        <v>2</v>
      </c>
      <c r="C15" s="155" t="s">
        <v>127</v>
      </c>
      <c r="D15" s="168" t="s">
        <v>128</v>
      </c>
    </row>
    <row r="16" spans="1:5" ht="30">
      <c r="A16" s="155">
        <f t="shared" si="0"/>
        <v>15</v>
      </c>
      <c r="B16" s="155">
        <v>4</v>
      </c>
      <c r="C16" s="155" t="s">
        <v>129</v>
      </c>
      <c r="D16" s="168" t="s">
        <v>130</v>
      </c>
    </row>
    <row r="17" spans="1:5">
      <c r="A17" s="155">
        <f t="shared" si="0"/>
        <v>19</v>
      </c>
      <c r="B17" s="155">
        <v>1</v>
      </c>
      <c r="C17" s="155" t="s">
        <v>131</v>
      </c>
      <c r="D17" s="168" t="s">
        <v>132</v>
      </c>
    </row>
    <row r="18" spans="1:5" ht="15.6">
      <c r="A18" s="155">
        <f t="shared" si="0"/>
        <v>20</v>
      </c>
      <c r="B18" s="165" t="s">
        <v>486</v>
      </c>
    </row>
    <row r="23" spans="1:5" ht="15.6">
      <c r="A23" s="542" t="s">
        <v>1237</v>
      </c>
      <c r="B23" s="542"/>
      <c r="C23" s="542"/>
      <c r="D23" s="542"/>
      <c r="E23" s="542"/>
    </row>
    <row r="25" spans="1:5" s="164" customFormat="1" ht="15.6">
      <c r="A25" s="542" t="s">
        <v>1238</v>
      </c>
      <c r="B25" s="542"/>
      <c r="C25" s="542"/>
      <c r="D25" s="542"/>
      <c r="E25" s="542"/>
    </row>
    <row r="26" spans="1:5" s="164" customFormat="1" ht="15.6">
      <c r="A26" s="181"/>
      <c r="B26" s="182"/>
      <c r="C26" s="182"/>
      <c r="D26" s="182"/>
      <c r="E26" s="183"/>
    </row>
    <row r="27" spans="1:5" s="164" customFormat="1" ht="15.6">
      <c r="A27" s="547" t="s">
        <v>1239</v>
      </c>
      <c r="B27" s="547"/>
      <c r="C27" s="182">
        <v>16</v>
      </c>
      <c r="D27" s="182"/>
      <c r="E27" s="183"/>
    </row>
    <row r="28" spans="1:5">
      <c r="A28" s="151"/>
      <c r="D28" s="175"/>
    </row>
    <row r="29" spans="1:5" s="165" customFormat="1" ht="31.2">
      <c r="A29" s="176" t="s">
        <v>110</v>
      </c>
      <c r="B29" s="176" t="s">
        <v>111</v>
      </c>
      <c r="C29" s="177" t="s">
        <v>112</v>
      </c>
      <c r="D29" s="178" t="s">
        <v>113</v>
      </c>
    </row>
    <row r="30" spans="1:5">
      <c r="A30" s="155">
        <v>0</v>
      </c>
      <c r="B30" s="155">
        <v>1</v>
      </c>
      <c r="C30" s="167" t="s">
        <v>114</v>
      </c>
      <c r="D30" s="168" t="s">
        <v>115</v>
      </c>
    </row>
    <row r="31" spans="1:5">
      <c r="A31" s="155">
        <f t="shared" ref="A31:A52" si="1">A30+B30</f>
        <v>1</v>
      </c>
      <c r="B31" s="155">
        <v>1</v>
      </c>
      <c r="C31" s="167" t="s">
        <v>138</v>
      </c>
      <c r="D31" s="168" t="s">
        <v>1204</v>
      </c>
    </row>
    <row r="32" spans="1:5">
      <c r="A32" s="155">
        <f t="shared" si="1"/>
        <v>2</v>
      </c>
      <c r="B32" s="155">
        <v>1</v>
      </c>
      <c r="C32" s="167" t="s">
        <v>138</v>
      </c>
      <c r="D32" s="179" t="s">
        <v>1240</v>
      </c>
    </row>
    <row r="33" spans="1:5" s="166" customFormat="1" ht="45">
      <c r="A33" s="155">
        <f t="shared" si="1"/>
        <v>3</v>
      </c>
      <c r="B33" s="180">
        <v>4</v>
      </c>
      <c r="C33" s="152" t="s">
        <v>120</v>
      </c>
      <c r="D33" s="168" t="str">
        <f>DEC2HEX(A52-5)</f>
        <v>C5C</v>
      </c>
      <c r="E33" s="184" t="s">
        <v>1241</v>
      </c>
    </row>
    <row r="34" spans="1:5" s="166" customFormat="1">
      <c r="A34" s="155">
        <f t="shared" si="1"/>
        <v>7</v>
      </c>
      <c r="B34" s="180">
        <v>2</v>
      </c>
      <c r="C34" s="152" t="s">
        <v>3</v>
      </c>
      <c r="D34" s="168" t="s">
        <v>1217</v>
      </c>
      <c r="E34" s="166">
        <f>((HEX2DEC(D33))-28)/196</f>
        <v>16</v>
      </c>
    </row>
    <row r="35" spans="1:5" s="166" customFormat="1">
      <c r="A35" s="155">
        <f t="shared" si="1"/>
        <v>9</v>
      </c>
      <c r="B35" s="180">
        <v>1</v>
      </c>
      <c r="C35" s="152" t="s">
        <v>1218</v>
      </c>
      <c r="D35" s="168" t="s">
        <v>1219</v>
      </c>
    </row>
    <row r="36" spans="1:5" s="166" customFormat="1">
      <c r="A36" s="155">
        <f t="shared" si="1"/>
        <v>10</v>
      </c>
      <c r="B36" s="180">
        <v>3</v>
      </c>
      <c r="C36" s="152" t="s">
        <v>1220</v>
      </c>
      <c r="D36" s="168" t="s">
        <v>1221</v>
      </c>
    </row>
    <row r="37" spans="1:5" s="166" customFormat="1">
      <c r="A37" s="155">
        <f t="shared" si="1"/>
        <v>13</v>
      </c>
      <c r="B37" s="180">
        <v>2</v>
      </c>
      <c r="C37" s="152" t="s">
        <v>1222</v>
      </c>
      <c r="D37" s="168" t="s">
        <v>1223</v>
      </c>
    </row>
    <row r="38" spans="1:5" s="166" customFormat="1">
      <c r="A38" s="155">
        <f t="shared" si="1"/>
        <v>15</v>
      </c>
      <c r="B38" s="180">
        <v>2</v>
      </c>
      <c r="C38" s="152" t="s">
        <v>1224</v>
      </c>
      <c r="D38" s="168" t="s">
        <v>1225</v>
      </c>
    </row>
    <row r="39" spans="1:5" s="166" customFormat="1">
      <c r="A39" s="155">
        <f t="shared" si="1"/>
        <v>17</v>
      </c>
      <c r="B39" s="180">
        <v>2</v>
      </c>
      <c r="C39" s="152" t="s">
        <v>1226</v>
      </c>
      <c r="D39" s="168" t="s">
        <v>1225</v>
      </c>
    </row>
    <row r="40" spans="1:5" s="166" customFormat="1">
      <c r="A40" s="155">
        <f t="shared" si="1"/>
        <v>19</v>
      </c>
      <c r="B40" s="180">
        <v>1</v>
      </c>
      <c r="C40" s="152" t="s">
        <v>1242</v>
      </c>
      <c r="D40" s="168" t="s">
        <v>1243</v>
      </c>
    </row>
    <row r="41" spans="1:5" s="166" customFormat="1" ht="105">
      <c r="A41" s="155">
        <f t="shared" si="1"/>
        <v>20</v>
      </c>
      <c r="B41" s="180">
        <f>62*C27</f>
        <v>992</v>
      </c>
      <c r="C41" s="152" t="s">
        <v>1244</v>
      </c>
      <c r="D41" s="168" t="s">
        <v>1245</v>
      </c>
    </row>
    <row r="42" spans="1:5" s="166" customFormat="1" ht="60">
      <c r="A42" s="155">
        <f t="shared" si="1"/>
        <v>1012</v>
      </c>
      <c r="B42" s="180">
        <f>62*C27</f>
        <v>992</v>
      </c>
      <c r="C42" s="152" t="s">
        <v>1246</v>
      </c>
      <c r="D42" s="168" t="s">
        <v>1247</v>
      </c>
    </row>
    <row r="43" spans="1:5" s="166" customFormat="1" ht="75">
      <c r="A43" s="155">
        <f t="shared" si="1"/>
        <v>2004</v>
      </c>
      <c r="B43" s="180">
        <f>62*C27</f>
        <v>992</v>
      </c>
      <c r="C43" s="152" t="s">
        <v>1248</v>
      </c>
      <c r="D43" s="168" t="s">
        <v>1249</v>
      </c>
    </row>
    <row r="44" spans="1:5" s="166" customFormat="1">
      <c r="A44" s="155">
        <f t="shared" si="1"/>
        <v>2996</v>
      </c>
      <c r="B44" s="180">
        <v>1</v>
      </c>
      <c r="C44" s="152" t="s">
        <v>1250</v>
      </c>
      <c r="D44" s="168" t="s">
        <v>1251</v>
      </c>
    </row>
    <row r="45" spans="1:5" s="166" customFormat="1" ht="45">
      <c r="A45" s="155">
        <f t="shared" si="1"/>
        <v>2997</v>
      </c>
      <c r="B45" s="180">
        <f>1*C27</f>
        <v>16</v>
      </c>
      <c r="C45" s="152" t="s">
        <v>1252</v>
      </c>
      <c r="D45" s="168" t="s">
        <v>1253</v>
      </c>
    </row>
    <row r="46" spans="1:5" s="166" customFormat="1" ht="60">
      <c r="A46" s="155">
        <f t="shared" si="1"/>
        <v>3013</v>
      </c>
      <c r="B46" s="180">
        <f>1*C27</f>
        <v>16</v>
      </c>
      <c r="C46" s="152" t="s">
        <v>164</v>
      </c>
      <c r="D46" s="184" t="s">
        <v>1254</v>
      </c>
    </row>
    <row r="47" spans="1:5" s="166" customFormat="1" ht="30">
      <c r="A47" s="155">
        <f t="shared" si="1"/>
        <v>3029</v>
      </c>
      <c r="B47" s="180">
        <f>8*C27</f>
        <v>128</v>
      </c>
      <c r="C47" s="152" t="s">
        <v>1255</v>
      </c>
      <c r="D47" s="168" t="s">
        <v>1256</v>
      </c>
    </row>
    <row r="48" spans="1:5" s="166" customFormat="1">
      <c r="A48" s="155">
        <f t="shared" si="1"/>
        <v>3157</v>
      </c>
      <c r="B48" s="180">
        <v>5</v>
      </c>
      <c r="C48" s="152" t="s">
        <v>1190</v>
      </c>
      <c r="D48" s="168" t="s">
        <v>1257</v>
      </c>
    </row>
    <row r="49" spans="1:5">
      <c r="A49" s="155">
        <f t="shared" si="1"/>
        <v>3162</v>
      </c>
      <c r="B49" s="155">
        <v>2</v>
      </c>
      <c r="C49" s="155" t="s">
        <v>127</v>
      </c>
      <c r="D49" s="168" t="s">
        <v>128</v>
      </c>
    </row>
    <row r="50" spans="1:5" ht="30">
      <c r="A50" s="155">
        <f t="shared" si="1"/>
        <v>3164</v>
      </c>
      <c r="B50" s="155">
        <v>4</v>
      </c>
      <c r="C50" s="155" t="s">
        <v>129</v>
      </c>
      <c r="D50" s="168" t="s">
        <v>130</v>
      </c>
    </row>
    <row r="51" spans="1:5">
      <c r="A51" s="155">
        <f t="shared" si="1"/>
        <v>3168</v>
      </c>
      <c r="B51" s="155">
        <v>1</v>
      </c>
      <c r="C51" s="155" t="s">
        <v>131</v>
      </c>
      <c r="D51" s="168" t="s">
        <v>132</v>
      </c>
    </row>
    <row r="52" spans="1:5" ht="15.6">
      <c r="A52" s="155">
        <f t="shared" si="1"/>
        <v>3169</v>
      </c>
      <c r="B52" s="165" t="s">
        <v>486</v>
      </c>
    </row>
    <row r="56" spans="1:5" ht="15.6">
      <c r="A56" s="542" t="s">
        <v>1237</v>
      </c>
      <c r="B56" s="542"/>
      <c r="C56" s="542"/>
      <c r="D56" s="542"/>
      <c r="E56" s="542"/>
    </row>
    <row r="58" spans="1:5" s="164" customFormat="1" ht="15.6">
      <c r="A58" s="542" t="s">
        <v>1258</v>
      </c>
      <c r="B58" s="542"/>
      <c r="C58" s="542"/>
      <c r="D58" s="542"/>
      <c r="E58" s="542"/>
    </row>
    <row r="59" spans="1:5" s="164" customFormat="1" ht="15.6">
      <c r="A59" s="181"/>
      <c r="B59" s="182"/>
      <c r="C59" s="182"/>
      <c r="D59" s="182"/>
      <c r="E59" s="183"/>
    </row>
    <row r="60" spans="1:5">
      <c r="A60" s="151"/>
      <c r="D60" s="175"/>
    </row>
    <row r="61" spans="1:5" s="165" customFormat="1" ht="31.2">
      <c r="A61" s="176" t="s">
        <v>110</v>
      </c>
      <c r="B61" s="176" t="s">
        <v>111</v>
      </c>
      <c r="C61" s="177" t="s">
        <v>112</v>
      </c>
      <c r="D61" s="178" t="s">
        <v>113</v>
      </c>
    </row>
    <row r="62" spans="1:5">
      <c r="A62" s="155">
        <v>0</v>
      </c>
      <c r="B62" s="155">
        <v>1</v>
      </c>
      <c r="C62" s="167" t="s">
        <v>114</v>
      </c>
      <c r="D62" s="168" t="s">
        <v>115</v>
      </c>
    </row>
    <row r="63" spans="1:5">
      <c r="A63" s="155">
        <f t="shared" ref="A63:A72" si="2">A62+B62</f>
        <v>1</v>
      </c>
      <c r="B63" s="155">
        <v>1</v>
      </c>
      <c r="C63" s="167" t="s">
        <v>138</v>
      </c>
      <c r="D63" s="168" t="s">
        <v>1204</v>
      </c>
    </row>
    <row r="64" spans="1:5">
      <c r="A64" s="155">
        <f t="shared" si="2"/>
        <v>2</v>
      </c>
      <c r="B64" s="155">
        <v>1</v>
      </c>
      <c r="C64" s="167" t="s">
        <v>138</v>
      </c>
      <c r="D64" s="179" t="s">
        <v>1240</v>
      </c>
    </row>
    <row r="65" spans="1:5" s="166" customFormat="1" ht="45">
      <c r="A65" s="155">
        <f t="shared" si="2"/>
        <v>3</v>
      </c>
      <c r="B65" s="180">
        <v>4</v>
      </c>
      <c r="C65" s="152" t="s">
        <v>120</v>
      </c>
      <c r="D65" s="168" t="str">
        <f>DEC2HEX(A72-5)</f>
        <v>C</v>
      </c>
      <c r="E65" s="184"/>
    </row>
    <row r="66" spans="1:5" s="166" customFormat="1" ht="15" customHeight="1">
      <c r="A66" s="155">
        <f t="shared" si="2"/>
        <v>7</v>
      </c>
      <c r="B66" s="180">
        <v>1</v>
      </c>
      <c r="C66" s="548" t="s">
        <v>1259</v>
      </c>
      <c r="D66" s="168" t="s">
        <v>1260</v>
      </c>
    </row>
    <row r="67" spans="1:5" s="166" customFormat="1">
      <c r="A67" s="155">
        <f t="shared" si="2"/>
        <v>8</v>
      </c>
      <c r="B67" s="180">
        <v>1</v>
      </c>
      <c r="C67" s="548"/>
      <c r="D67" s="168" t="s">
        <v>527</v>
      </c>
    </row>
    <row r="68" spans="1:5" s="166" customFormat="1">
      <c r="A68" s="155">
        <f t="shared" si="2"/>
        <v>9</v>
      </c>
      <c r="B68" s="180">
        <v>1</v>
      </c>
      <c r="C68" s="548"/>
      <c r="D68" s="168" t="s">
        <v>1261</v>
      </c>
    </row>
    <row r="69" spans="1:5">
      <c r="A69" s="155">
        <f t="shared" si="2"/>
        <v>10</v>
      </c>
      <c r="B69" s="155">
        <v>2</v>
      </c>
      <c r="C69" s="155" t="s">
        <v>127</v>
      </c>
      <c r="D69" s="168" t="s">
        <v>128</v>
      </c>
    </row>
    <row r="70" spans="1:5" ht="30">
      <c r="A70" s="155">
        <f t="shared" si="2"/>
        <v>12</v>
      </c>
      <c r="B70" s="155">
        <v>4</v>
      </c>
      <c r="C70" s="155" t="s">
        <v>129</v>
      </c>
      <c r="D70" s="168" t="s">
        <v>130</v>
      </c>
    </row>
    <row r="71" spans="1:5">
      <c r="A71" s="155">
        <f t="shared" si="2"/>
        <v>16</v>
      </c>
      <c r="B71" s="155">
        <v>1</v>
      </c>
      <c r="C71" s="155" t="s">
        <v>131</v>
      </c>
      <c r="D71" s="168" t="s">
        <v>132</v>
      </c>
    </row>
    <row r="72" spans="1:5" ht="15.6">
      <c r="A72" s="155">
        <f t="shared" si="2"/>
        <v>17</v>
      </c>
      <c r="B72" s="165" t="s">
        <v>486</v>
      </c>
    </row>
  </sheetData>
  <mergeCells count="8">
    <mergeCell ref="A56:E56"/>
    <mergeCell ref="A58:E58"/>
    <mergeCell ref="C66:C68"/>
    <mergeCell ref="A3:E3"/>
    <mergeCell ref="A5:E5"/>
    <mergeCell ref="A23:E23"/>
    <mergeCell ref="A25:E25"/>
    <mergeCell ref="A27:B27"/>
  </mergeCells>
  <pageMargins left="0.69861111111111096" right="0.69861111111111096" top="0.75" bottom="0.75" header="0.51111111111111096" footer="0.51111111111111096"/>
  <pageSetup paperSize="9" orientation="portrait" horizontalDpi="300" verticalDpi="300"/>
  <headerFooter scaleWithDoc="0"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17"/>
  <sheetViews>
    <sheetView topLeftCell="A119" workbookViewId="0">
      <selection activeCell="D54" sqref="D54"/>
    </sheetView>
  </sheetViews>
  <sheetFormatPr defaultColWidth="9.109375" defaultRowHeight="13.2"/>
  <cols>
    <col min="1" max="1" width="24.5546875" style="144" customWidth="1"/>
    <col min="2" max="2" width="17.6640625" style="144" customWidth="1"/>
    <col min="3" max="3" width="26" style="144" customWidth="1"/>
    <col min="4" max="4" width="29.21875" style="145" customWidth="1"/>
    <col min="5" max="5" width="31.21875" style="146" customWidth="1"/>
  </cols>
  <sheetData>
    <row r="1" spans="1:5" ht="15">
      <c r="A1" s="147"/>
      <c r="B1" s="147"/>
      <c r="C1" s="148"/>
      <c r="D1" s="149"/>
      <c r="E1" s="150"/>
    </row>
    <row r="2" spans="1:5" ht="15.6">
      <c r="A2" s="549" t="s">
        <v>1262</v>
      </c>
      <c r="B2" s="549"/>
      <c r="C2" s="549"/>
      <c r="D2" s="549"/>
      <c r="E2" s="549"/>
    </row>
    <row r="3" spans="1:5">
      <c r="A3" s="148"/>
      <c r="B3" s="148"/>
      <c r="C3" s="148"/>
      <c r="D3" s="149"/>
      <c r="E3" s="150"/>
    </row>
    <row r="4" spans="1:5" ht="15" customHeight="1">
      <c r="A4" s="505" t="s">
        <v>1263</v>
      </c>
      <c r="B4" s="505"/>
      <c r="C4" s="505"/>
      <c r="D4" s="505"/>
      <c r="E4" s="505"/>
    </row>
    <row r="5" spans="1:5">
      <c r="A5" s="505"/>
      <c r="B5" s="505"/>
      <c r="C5" s="505"/>
      <c r="D5" s="505"/>
      <c r="E5" s="505"/>
    </row>
    <row r="6" spans="1:5" ht="15">
      <c r="A6" s="152" t="s">
        <v>110</v>
      </c>
      <c r="B6" s="152" t="s">
        <v>111</v>
      </c>
      <c r="C6" s="153" t="s">
        <v>112</v>
      </c>
      <c r="D6" s="154" t="s">
        <v>113</v>
      </c>
      <c r="E6" s="155"/>
    </row>
    <row r="7" spans="1:5">
      <c r="A7" s="144">
        <v>0</v>
      </c>
      <c r="B7" s="144">
        <v>1</v>
      </c>
      <c r="C7" s="144" t="s">
        <v>114</v>
      </c>
      <c r="D7" s="145" t="s">
        <v>115</v>
      </c>
    </row>
    <row r="8" spans="1:5" ht="22.8">
      <c r="A8" s="144">
        <f t="shared" ref="A8:A16" si="0">A7+B7</f>
        <v>1</v>
      </c>
      <c r="B8" s="144">
        <v>1</v>
      </c>
      <c r="C8" s="144" t="s">
        <v>1260</v>
      </c>
      <c r="D8" s="145" t="s">
        <v>117</v>
      </c>
    </row>
    <row r="9" spans="1:5">
      <c r="A9" s="144">
        <f t="shared" si="0"/>
        <v>2</v>
      </c>
      <c r="B9" s="144">
        <v>1</v>
      </c>
      <c r="C9" s="144" t="s">
        <v>1264</v>
      </c>
      <c r="D9" s="145" t="s">
        <v>119</v>
      </c>
    </row>
    <row r="10" spans="1:5" ht="39.6">
      <c r="A10" s="144">
        <f t="shared" si="0"/>
        <v>3</v>
      </c>
      <c r="B10" s="144">
        <v>2</v>
      </c>
      <c r="C10" s="10" t="s">
        <v>120</v>
      </c>
      <c r="D10" s="145" t="str">
        <f>DEC2HEX(A16-5)</f>
        <v>9</v>
      </c>
      <c r="E10" s="156"/>
    </row>
    <row r="11" spans="1:5" ht="22.8">
      <c r="A11" s="144">
        <f t="shared" si="0"/>
        <v>5</v>
      </c>
      <c r="B11" s="144">
        <v>2</v>
      </c>
      <c r="C11" s="10" t="s">
        <v>121</v>
      </c>
      <c r="D11" s="145" t="s">
        <v>122</v>
      </c>
    </row>
    <row r="12" spans="1:5" ht="22.8">
      <c r="A12" s="144">
        <f t="shared" si="0"/>
        <v>7</v>
      </c>
      <c r="B12" s="144">
        <v>1</v>
      </c>
      <c r="C12" s="10" t="s">
        <v>1265</v>
      </c>
      <c r="D12" s="145" t="s">
        <v>1266</v>
      </c>
    </row>
    <row r="13" spans="1:5">
      <c r="A13" s="144">
        <f t="shared" si="0"/>
        <v>8</v>
      </c>
      <c r="B13" s="144">
        <v>1</v>
      </c>
      <c r="C13" s="10" t="s">
        <v>1267</v>
      </c>
      <c r="D13" s="145" t="s">
        <v>1268</v>
      </c>
    </row>
    <row r="14" spans="1:5" ht="34.200000000000003">
      <c r="A14" s="144">
        <f t="shared" si="0"/>
        <v>9</v>
      </c>
      <c r="B14" s="144">
        <v>4</v>
      </c>
      <c r="C14" s="144" t="s">
        <v>129</v>
      </c>
      <c r="D14" s="145" t="s">
        <v>130</v>
      </c>
    </row>
    <row r="15" spans="1:5">
      <c r="A15" s="144">
        <f t="shared" si="0"/>
        <v>13</v>
      </c>
      <c r="B15" s="144">
        <v>1</v>
      </c>
      <c r="C15" s="144" t="s">
        <v>131</v>
      </c>
      <c r="D15" s="145" t="s">
        <v>132</v>
      </c>
    </row>
    <row r="16" spans="1:5">
      <c r="A16" s="144">
        <f t="shared" si="0"/>
        <v>14</v>
      </c>
      <c r="B16" s="157" t="s">
        <v>486</v>
      </c>
      <c r="C16" s="10"/>
    </row>
    <row r="17" spans="1:5">
      <c r="A17" s="148"/>
      <c r="B17" s="148"/>
      <c r="C17" s="25"/>
      <c r="D17" s="149"/>
      <c r="E17" s="150"/>
    </row>
    <row r="18" spans="1:5" ht="15">
      <c r="A18" s="147"/>
      <c r="B18" s="147"/>
      <c r="C18" s="25"/>
      <c r="D18" s="149"/>
      <c r="E18" s="150"/>
    </row>
    <row r="19" spans="1:5" ht="15.6">
      <c r="A19" s="549" t="s">
        <v>1269</v>
      </c>
      <c r="B19" s="549"/>
      <c r="C19" s="549"/>
      <c r="D19" s="549"/>
      <c r="E19" s="549"/>
    </row>
    <row r="20" spans="1:5" ht="15">
      <c r="A20" s="158"/>
      <c r="B20" s="158"/>
      <c r="C20" s="158"/>
      <c r="D20" s="159"/>
      <c r="E20" s="150"/>
    </row>
    <row r="21" spans="1:5" ht="15" customHeight="1">
      <c r="A21" s="505" t="s">
        <v>1270</v>
      </c>
      <c r="B21" s="505"/>
      <c r="C21" s="505"/>
      <c r="D21" s="505"/>
      <c r="E21" s="505"/>
    </row>
    <row r="22" spans="1:5">
      <c r="A22" s="505"/>
      <c r="B22" s="505"/>
      <c r="C22" s="505"/>
      <c r="D22" s="505"/>
      <c r="E22" s="505"/>
    </row>
    <row r="23" spans="1:5" ht="15">
      <c r="A23" s="152" t="s">
        <v>110</v>
      </c>
      <c r="B23" s="152" t="s">
        <v>111</v>
      </c>
      <c r="C23" s="153" t="s">
        <v>112</v>
      </c>
      <c r="D23" s="154" t="s">
        <v>113</v>
      </c>
      <c r="E23" s="155"/>
    </row>
    <row r="24" spans="1:5">
      <c r="A24" s="10">
        <v>0</v>
      </c>
      <c r="B24" s="144">
        <v>1</v>
      </c>
      <c r="C24" s="144" t="s">
        <v>114</v>
      </c>
      <c r="D24" s="145" t="s">
        <v>115</v>
      </c>
    </row>
    <row r="25" spans="1:5" ht="22.8">
      <c r="A25" s="10">
        <f t="shared" ref="A25:A78" si="1">A24+B24</f>
        <v>1</v>
      </c>
      <c r="B25" s="144">
        <v>1</v>
      </c>
      <c r="C25" s="144" t="s">
        <v>1260</v>
      </c>
      <c r="D25" s="145" t="s">
        <v>117</v>
      </c>
    </row>
    <row r="26" spans="1:5">
      <c r="A26" s="10">
        <f t="shared" si="1"/>
        <v>2</v>
      </c>
      <c r="B26" s="144">
        <v>1</v>
      </c>
      <c r="C26" s="144" t="s">
        <v>1264</v>
      </c>
      <c r="D26" s="145" t="s">
        <v>119</v>
      </c>
    </row>
    <row r="27" spans="1:5" ht="39.6">
      <c r="A27" s="10">
        <f t="shared" si="1"/>
        <v>3</v>
      </c>
      <c r="B27" s="144">
        <v>2</v>
      </c>
      <c r="C27" s="10" t="s">
        <v>120</v>
      </c>
      <c r="D27" s="145" t="str">
        <f>DEC2HEX(A78-5)</f>
        <v>383</v>
      </c>
      <c r="E27" s="156"/>
    </row>
    <row r="28" spans="1:5" ht="22.8">
      <c r="A28" s="10">
        <f t="shared" si="1"/>
        <v>5</v>
      </c>
      <c r="B28" s="144">
        <v>2</v>
      </c>
      <c r="C28" s="10" t="s">
        <v>121</v>
      </c>
      <c r="D28" s="145" t="s">
        <v>122</v>
      </c>
      <c r="E28" s="160"/>
    </row>
    <row r="29" spans="1:5">
      <c r="A29" s="10">
        <f t="shared" si="1"/>
        <v>7</v>
      </c>
      <c r="B29" s="144">
        <v>1</v>
      </c>
      <c r="C29" s="10" t="s">
        <v>1271</v>
      </c>
      <c r="D29" s="145" t="s">
        <v>1272</v>
      </c>
    </row>
    <row r="30" spans="1:5">
      <c r="A30" s="10">
        <f t="shared" si="1"/>
        <v>8</v>
      </c>
      <c r="B30" s="144">
        <v>1</v>
      </c>
      <c r="C30" s="10" t="s">
        <v>1267</v>
      </c>
      <c r="D30" s="145" t="s">
        <v>1268</v>
      </c>
    </row>
    <row r="31" spans="1:5">
      <c r="A31" s="10">
        <f t="shared" si="1"/>
        <v>9</v>
      </c>
      <c r="C31" s="157" t="s">
        <v>1273</v>
      </c>
    </row>
    <row r="32" spans="1:5">
      <c r="A32" s="10">
        <f t="shared" si="1"/>
        <v>9</v>
      </c>
      <c r="B32" s="161">
        <v>6</v>
      </c>
      <c r="C32" s="162" t="s">
        <v>1274</v>
      </c>
    </row>
    <row r="33" spans="1:3">
      <c r="A33" s="10">
        <f t="shared" si="1"/>
        <v>15</v>
      </c>
      <c r="B33" s="161">
        <v>4</v>
      </c>
      <c r="C33" s="162" t="s">
        <v>1275</v>
      </c>
    </row>
    <row r="34" spans="1:3">
      <c r="A34" s="10">
        <f t="shared" si="1"/>
        <v>19</v>
      </c>
      <c r="B34" s="161">
        <v>1</v>
      </c>
      <c r="C34" s="162" t="s">
        <v>1276</v>
      </c>
    </row>
    <row r="35" spans="1:3">
      <c r="A35" s="10">
        <f t="shared" si="1"/>
        <v>20</v>
      </c>
      <c r="B35" s="161">
        <v>2</v>
      </c>
      <c r="C35" s="162" t="s">
        <v>1277</v>
      </c>
    </row>
    <row r="36" spans="1:3">
      <c r="A36" s="10">
        <f t="shared" si="1"/>
        <v>22</v>
      </c>
      <c r="B36" s="161">
        <v>4</v>
      </c>
      <c r="C36" s="162" t="s">
        <v>1278</v>
      </c>
    </row>
    <row r="37" spans="1:3">
      <c r="A37" s="10">
        <f t="shared" si="1"/>
        <v>26</v>
      </c>
      <c r="B37" s="161">
        <v>1</v>
      </c>
      <c r="C37" s="162" t="s">
        <v>1279</v>
      </c>
    </row>
    <row r="38" spans="1:3">
      <c r="A38" s="10">
        <f t="shared" si="1"/>
        <v>27</v>
      </c>
      <c r="B38" s="161">
        <v>1</v>
      </c>
      <c r="C38" s="162" t="s">
        <v>195</v>
      </c>
    </row>
    <row r="39" spans="1:3">
      <c r="A39" s="10">
        <f t="shared" si="1"/>
        <v>28</v>
      </c>
      <c r="B39" s="161">
        <v>3</v>
      </c>
      <c r="C39" s="162" t="s">
        <v>1280</v>
      </c>
    </row>
    <row r="40" spans="1:3">
      <c r="A40" s="10">
        <f t="shared" si="1"/>
        <v>31</v>
      </c>
      <c r="B40" s="161">
        <v>3</v>
      </c>
      <c r="C40" s="162" t="s">
        <v>1281</v>
      </c>
    </row>
    <row r="41" spans="1:3">
      <c r="A41" s="10">
        <f t="shared" si="1"/>
        <v>34</v>
      </c>
      <c r="B41" s="161">
        <v>1</v>
      </c>
      <c r="C41" s="162" t="s">
        <v>1282</v>
      </c>
    </row>
    <row r="42" spans="1:3">
      <c r="A42" s="10">
        <f t="shared" si="1"/>
        <v>35</v>
      </c>
      <c r="B42" s="161">
        <v>1</v>
      </c>
      <c r="C42" s="162" t="s">
        <v>1283</v>
      </c>
    </row>
    <row r="43" spans="1:3">
      <c r="A43" s="10">
        <f t="shared" si="1"/>
        <v>36</v>
      </c>
      <c r="B43" s="161">
        <v>1</v>
      </c>
      <c r="C43" s="162" t="s">
        <v>1284</v>
      </c>
    </row>
    <row r="44" spans="1:3">
      <c r="A44" s="10">
        <f t="shared" si="1"/>
        <v>37</v>
      </c>
      <c r="B44" s="161">
        <v>1</v>
      </c>
      <c r="C44" s="162" t="s">
        <v>1285</v>
      </c>
    </row>
    <row r="45" spans="1:3">
      <c r="A45" s="10">
        <f t="shared" si="1"/>
        <v>38</v>
      </c>
      <c r="B45" s="161">
        <v>3</v>
      </c>
      <c r="C45" s="162" t="s">
        <v>1286</v>
      </c>
    </row>
    <row r="46" spans="1:3">
      <c r="A46" s="10">
        <f t="shared" si="1"/>
        <v>41</v>
      </c>
      <c r="B46" s="161">
        <v>3</v>
      </c>
      <c r="C46" s="162" t="s">
        <v>1287</v>
      </c>
    </row>
    <row r="47" spans="1:3">
      <c r="A47" s="10">
        <f t="shared" si="1"/>
        <v>44</v>
      </c>
      <c r="B47" s="161">
        <v>3</v>
      </c>
      <c r="C47" s="162" t="s">
        <v>1288</v>
      </c>
    </row>
    <row r="48" spans="1:3">
      <c r="A48" s="10">
        <f t="shared" si="1"/>
        <v>47</v>
      </c>
      <c r="B48" s="161">
        <v>3</v>
      </c>
      <c r="C48" s="162" t="s">
        <v>1289</v>
      </c>
    </row>
    <row r="49" spans="1:3">
      <c r="A49" s="10">
        <f t="shared" si="1"/>
        <v>50</v>
      </c>
      <c r="B49" s="161">
        <v>3</v>
      </c>
      <c r="C49" s="162" t="s">
        <v>1290</v>
      </c>
    </row>
    <row r="50" spans="1:3">
      <c r="A50" s="10">
        <f t="shared" si="1"/>
        <v>53</v>
      </c>
      <c r="B50" s="161">
        <v>3</v>
      </c>
      <c r="C50" s="162" t="s">
        <v>1291</v>
      </c>
    </row>
    <row r="51" spans="1:3">
      <c r="A51" s="10">
        <f t="shared" si="1"/>
        <v>56</v>
      </c>
      <c r="B51" s="161">
        <v>2</v>
      </c>
      <c r="C51" s="162" t="s">
        <v>1292</v>
      </c>
    </row>
    <row r="52" spans="1:3">
      <c r="A52" s="10">
        <f t="shared" si="1"/>
        <v>58</v>
      </c>
      <c r="B52" s="161">
        <v>2</v>
      </c>
      <c r="C52" s="162" t="s">
        <v>1293</v>
      </c>
    </row>
    <row r="53" spans="1:3">
      <c r="A53" s="10">
        <f t="shared" si="1"/>
        <v>60</v>
      </c>
      <c r="B53" s="161">
        <v>2</v>
      </c>
      <c r="C53" s="162" t="s">
        <v>1294</v>
      </c>
    </row>
    <row r="54" spans="1:3">
      <c r="A54" s="10">
        <f t="shared" si="1"/>
        <v>62</v>
      </c>
      <c r="B54" s="161">
        <v>3</v>
      </c>
      <c r="C54" s="162" t="s">
        <v>1295</v>
      </c>
    </row>
    <row r="55" spans="1:3">
      <c r="A55" s="10">
        <f t="shared" si="1"/>
        <v>65</v>
      </c>
      <c r="B55" s="161">
        <v>3</v>
      </c>
      <c r="C55" s="162" t="s">
        <v>1296</v>
      </c>
    </row>
    <row r="56" spans="1:3">
      <c r="A56" s="10">
        <f t="shared" si="1"/>
        <v>68</v>
      </c>
      <c r="B56" s="161">
        <v>3</v>
      </c>
      <c r="C56" s="162" t="s">
        <v>1297</v>
      </c>
    </row>
    <row r="57" spans="1:3">
      <c r="A57" s="10">
        <f t="shared" si="1"/>
        <v>71</v>
      </c>
      <c r="B57" s="161">
        <v>4</v>
      </c>
      <c r="C57" s="162" t="s">
        <v>1298</v>
      </c>
    </row>
    <row r="58" spans="1:3">
      <c r="A58" s="10">
        <f t="shared" si="1"/>
        <v>75</v>
      </c>
      <c r="B58" s="161">
        <v>4</v>
      </c>
      <c r="C58" s="162" t="s">
        <v>1299</v>
      </c>
    </row>
    <row r="59" spans="1:3">
      <c r="A59" s="10">
        <f t="shared" si="1"/>
        <v>79</v>
      </c>
      <c r="B59" s="161">
        <v>4</v>
      </c>
      <c r="C59" s="162" t="s">
        <v>1300</v>
      </c>
    </row>
    <row r="60" spans="1:3">
      <c r="A60" s="10">
        <f t="shared" si="1"/>
        <v>83</v>
      </c>
      <c r="B60" s="161">
        <v>4</v>
      </c>
      <c r="C60" s="162" t="s">
        <v>1301</v>
      </c>
    </row>
    <row r="61" spans="1:3">
      <c r="A61" s="10">
        <f t="shared" si="1"/>
        <v>87</v>
      </c>
      <c r="B61" s="161">
        <v>4</v>
      </c>
      <c r="C61" s="162" t="s">
        <v>1302</v>
      </c>
    </row>
    <row r="62" spans="1:3">
      <c r="A62" s="10">
        <f t="shared" si="1"/>
        <v>91</v>
      </c>
      <c r="B62" s="161">
        <v>3</v>
      </c>
      <c r="C62" s="162" t="s">
        <v>1303</v>
      </c>
    </row>
    <row r="63" spans="1:3">
      <c r="A63" s="10">
        <f t="shared" si="1"/>
        <v>94</v>
      </c>
      <c r="B63" s="161">
        <v>1</v>
      </c>
      <c r="C63" s="162" t="s">
        <v>1304</v>
      </c>
    </row>
    <row r="64" spans="1:3">
      <c r="A64" s="10">
        <f t="shared" si="1"/>
        <v>95</v>
      </c>
      <c r="B64" s="161">
        <v>1</v>
      </c>
      <c r="C64" s="162" t="s">
        <v>1305</v>
      </c>
    </row>
    <row r="65" spans="1:5">
      <c r="A65" s="10">
        <f t="shared" si="1"/>
        <v>96</v>
      </c>
      <c r="B65" s="161">
        <v>1</v>
      </c>
      <c r="C65" s="162" t="s">
        <v>1306</v>
      </c>
    </row>
    <row r="66" spans="1:5" ht="26.4">
      <c r="A66" s="10">
        <f t="shared" si="1"/>
        <v>97</v>
      </c>
      <c r="B66" s="161">
        <v>1</v>
      </c>
      <c r="C66" s="163" t="s">
        <v>1307</v>
      </c>
      <c r="E66" s="146">
        <f>SUM(B32:B66)</f>
        <v>89</v>
      </c>
    </row>
    <row r="67" spans="1:5">
      <c r="A67" s="10">
        <f t="shared" si="1"/>
        <v>98</v>
      </c>
      <c r="B67" s="161">
        <v>89</v>
      </c>
      <c r="C67" s="157" t="s">
        <v>1308</v>
      </c>
    </row>
    <row r="68" spans="1:5">
      <c r="A68" s="10">
        <f t="shared" si="1"/>
        <v>187</v>
      </c>
      <c r="B68" s="161">
        <v>89</v>
      </c>
      <c r="C68" s="157" t="s">
        <v>1309</v>
      </c>
    </row>
    <row r="69" spans="1:5">
      <c r="A69" s="10">
        <f t="shared" si="1"/>
        <v>276</v>
      </c>
      <c r="B69" s="161">
        <v>89</v>
      </c>
      <c r="C69" s="157" t="s">
        <v>1310</v>
      </c>
    </row>
    <row r="70" spans="1:5">
      <c r="A70" s="10">
        <f t="shared" si="1"/>
        <v>365</v>
      </c>
      <c r="B70" s="161">
        <v>89</v>
      </c>
      <c r="C70" s="157" t="s">
        <v>1311</v>
      </c>
    </row>
    <row r="71" spans="1:5">
      <c r="A71" s="10">
        <f t="shared" si="1"/>
        <v>454</v>
      </c>
      <c r="B71" s="161">
        <v>89</v>
      </c>
      <c r="C71" s="157" t="s">
        <v>1312</v>
      </c>
    </row>
    <row r="72" spans="1:5">
      <c r="A72" s="10">
        <f t="shared" si="1"/>
        <v>543</v>
      </c>
      <c r="B72" s="161">
        <v>89</v>
      </c>
      <c r="C72" s="157" t="s">
        <v>1313</v>
      </c>
    </row>
    <row r="73" spans="1:5">
      <c r="A73" s="10">
        <f t="shared" si="1"/>
        <v>632</v>
      </c>
      <c r="B73" s="161">
        <v>89</v>
      </c>
      <c r="C73" s="157" t="s">
        <v>1314</v>
      </c>
    </row>
    <row r="74" spans="1:5">
      <c r="A74" s="10">
        <f t="shared" si="1"/>
        <v>721</v>
      </c>
      <c r="B74" s="161">
        <v>89</v>
      </c>
      <c r="C74" s="157" t="s">
        <v>1315</v>
      </c>
    </row>
    <row r="75" spans="1:5">
      <c r="A75" s="10">
        <f t="shared" si="1"/>
        <v>810</v>
      </c>
      <c r="B75" s="161">
        <v>89</v>
      </c>
      <c r="C75" s="157" t="s">
        <v>1316</v>
      </c>
    </row>
    <row r="76" spans="1:5" ht="34.200000000000003">
      <c r="A76" s="10">
        <f t="shared" si="1"/>
        <v>899</v>
      </c>
      <c r="B76" s="144">
        <v>4</v>
      </c>
      <c r="C76" s="144" t="s">
        <v>129</v>
      </c>
      <c r="D76" s="145" t="s">
        <v>130</v>
      </c>
    </row>
    <row r="77" spans="1:5">
      <c r="A77" s="10">
        <f t="shared" si="1"/>
        <v>903</v>
      </c>
      <c r="B77" s="144">
        <v>1</v>
      </c>
      <c r="C77" s="144" t="s">
        <v>131</v>
      </c>
      <c r="D77" s="145" t="s">
        <v>132</v>
      </c>
    </row>
    <row r="78" spans="1:5">
      <c r="A78" s="10">
        <f t="shared" si="1"/>
        <v>904</v>
      </c>
      <c r="B78" s="157" t="s">
        <v>486</v>
      </c>
    </row>
    <row r="79" spans="1:5">
      <c r="A79" s="148"/>
      <c r="B79" s="148"/>
      <c r="C79" s="148"/>
      <c r="D79" s="149"/>
      <c r="E79" s="150"/>
    </row>
    <row r="80" spans="1:5">
      <c r="A80" s="148"/>
      <c r="B80" s="148"/>
      <c r="C80" s="148"/>
      <c r="D80" s="149"/>
      <c r="E80" s="150"/>
    </row>
    <row r="81" spans="1:5" ht="15.6">
      <c r="A81" s="549" t="s">
        <v>1317</v>
      </c>
      <c r="B81" s="549"/>
      <c r="C81" s="549"/>
      <c r="D81" s="549"/>
      <c r="E81" s="549"/>
    </row>
    <row r="82" spans="1:5" ht="15">
      <c r="A82" s="158"/>
      <c r="B82" s="158"/>
      <c r="C82" s="158"/>
      <c r="D82" s="159"/>
      <c r="E82" s="150"/>
    </row>
    <row r="83" spans="1:5" ht="15" customHeight="1">
      <c r="A83" s="505" t="s">
        <v>1270</v>
      </c>
      <c r="B83" s="505"/>
      <c r="C83" s="505"/>
      <c r="D83" s="505"/>
      <c r="E83" s="505"/>
    </row>
    <row r="84" spans="1:5">
      <c r="A84" s="505"/>
      <c r="B84" s="505"/>
      <c r="C84" s="505"/>
      <c r="D84" s="505"/>
      <c r="E84" s="505"/>
    </row>
    <row r="85" spans="1:5" ht="15">
      <c r="A85" s="152" t="s">
        <v>110</v>
      </c>
      <c r="B85" s="152" t="s">
        <v>111</v>
      </c>
      <c r="C85" s="153" t="s">
        <v>112</v>
      </c>
      <c r="D85" s="154" t="s">
        <v>113</v>
      </c>
      <c r="E85" s="155"/>
    </row>
    <row r="86" spans="1:5">
      <c r="A86" s="10">
        <v>0</v>
      </c>
      <c r="B86" s="144">
        <v>1</v>
      </c>
      <c r="C86" s="144" t="s">
        <v>114</v>
      </c>
      <c r="D86" s="145" t="s">
        <v>115</v>
      </c>
    </row>
    <row r="87" spans="1:5" ht="22.8">
      <c r="A87" s="10">
        <f t="shared" ref="A87:A117" si="2">A86+B86</f>
        <v>1</v>
      </c>
      <c r="B87" s="144">
        <v>1</v>
      </c>
      <c r="C87" s="144" t="s">
        <v>1260</v>
      </c>
      <c r="D87" s="145" t="s">
        <v>117</v>
      </c>
    </row>
    <row r="88" spans="1:5">
      <c r="A88" s="10">
        <f t="shared" si="2"/>
        <v>2</v>
      </c>
      <c r="B88" s="144">
        <v>1</v>
      </c>
      <c r="C88" s="144" t="s">
        <v>1264</v>
      </c>
      <c r="D88" s="145" t="s">
        <v>119</v>
      </c>
    </row>
    <row r="89" spans="1:5" ht="39.6">
      <c r="A89" s="10">
        <f t="shared" si="2"/>
        <v>3</v>
      </c>
      <c r="B89" s="144">
        <v>2</v>
      </c>
      <c r="C89" s="10" t="s">
        <v>120</v>
      </c>
      <c r="D89" s="145" t="str">
        <f>DEC2HEX(A117-5)</f>
        <v>167</v>
      </c>
      <c r="E89" s="156"/>
    </row>
    <row r="90" spans="1:5" ht="22.8">
      <c r="A90" s="10">
        <f t="shared" si="2"/>
        <v>5</v>
      </c>
      <c r="B90" s="144">
        <v>2</v>
      </c>
      <c r="C90" s="10" t="s">
        <v>121</v>
      </c>
      <c r="D90" s="145" t="s">
        <v>122</v>
      </c>
      <c r="E90" s="160"/>
    </row>
    <row r="91" spans="1:5">
      <c r="A91" s="10">
        <f t="shared" si="2"/>
        <v>7</v>
      </c>
      <c r="B91" s="144">
        <v>1</v>
      </c>
      <c r="C91" s="10" t="s">
        <v>1271</v>
      </c>
      <c r="D91" s="145" t="s">
        <v>1318</v>
      </c>
    </row>
    <row r="92" spans="1:5">
      <c r="A92" s="10">
        <f t="shared" si="2"/>
        <v>8</v>
      </c>
      <c r="B92" s="144">
        <v>1</v>
      </c>
      <c r="C92" s="10" t="s">
        <v>1267</v>
      </c>
      <c r="D92" s="145" t="s">
        <v>1268</v>
      </c>
    </row>
    <row r="93" spans="1:5">
      <c r="A93" s="10">
        <f t="shared" si="2"/>
        <v>9</v>
      </c>
      <c r="C93" s="157" t="s">
        <v>1273</v>
      </c>
    </row>
    <row r="94" spans="1:5">
      <c r="A94" s="10">
        <f t="shared" si="2"/>
        <v>9</v>
      </c>
      <c r="B94" s="161">
        <v>6</v>
      </c>
      <c r="C94" s="162" t="s">
        <v>1274</v>
      </c>
    </row>
    <row r="95" spans="1:5">
      <c r="A95" s="10">
        <f t="shared" si="2"/>
        <v>15</v>
      </c>
      <c r="B95" s="161">
        <v>4</v>
      </c>
      <c r="C95" s="162" t="s">
        <v>1275</v>
      </c>
    </row>
    <row r="96" spans="1:5">
      <c r="A96" s="10">
        <f t="shared" si="2"/>
        <v>19</v>
      </c>
      <c r="B96" s="161">
        <v>2</v>
      </c>
      <c r="C96" s="162" t="s">
        <v>1319</v>
      </c>
    </row>
    <row r="97" spans="1:5">
      <c r="A97" s="10">
        <f t="shared" si="2"/>
        <v>21</v>
      </c>
      <c r="B97" s="161">
        <v>2</v>
      </c>
      <c r="C97" s="162" t="s">
        <v>1277</v>
      </c>
    </row>
    <row r="98" spans="1:5">
      <c r="A98" s="10">
        <f t="shared" si="2"/>
        <v>23</v>
      </c>
      <c r="B98" s="161">
        <v>4</v>
      </c>
      <c r="C98" s="162" t="s">
        <v>379</v>
      </c>
    </row>
    <row r="99" spans="1:5">
      <c r="A99" s="10">
        <f t="shared" si="2"/>
        <v>27</v>
      </c>
      <c r="B99" s="161">
        <v>4</v>
      </c>
      <c r="C99" s="162" t="s">
        <v>387</v>
      </c>
    </row>
    <row r="100" spans="1:5">
      <c r="A100" s="10">
        <f t="shared" si="2"/>
        <v>31</v>
      </c>
      <c r="B100" s="161">
        <v>4</v>
      </c>
      <c r="C100" s="162" t="s">
        <v>744</v>
      </c>
    </row>
    <row r="101" spans="1:5">
      <c r="A101" s="10">
        <f t="shared" si="2"/>
        <v>35</v>
      </c>
      <c r="B101" s="161">
        <v>1</v>
      </c>
      <c r="C101" s="162" t="s">
        <v>1320</v>
      </c>
    </row>
    <row r="102" spans="1:5">
      <c r="A102" s="10">
        <f t="shared" si="2"/>
        <v>36</v>
      </c>
      <c r="B102" s="161">
        <v>1</v>
      </c>
      <c r="C102" s="162" t="s">
        <v>391</v>
      </c>
    </row>
    <row r="103" spans="1:5">
      <c r="A103" s="10">
        <f t="shared" si="2"/>
        <v>37</v>
      </c>
      <c r="B103" s="161">
        <v>4</v>
      </c>
      <c r="C103" s="162" t="s">
        <v>377</v>
      </c>
    </row>
    <row r="104" spans="1:5">
      <c r="A104" s="10">
        <f t="shared" si="2"/>
        <v>41</v>
      </c>
      <c r="B104" s="161">
        <v>2</v>
      </c>
      <c r="C104" s="162" t="s">
        <v>373</v>
      </c>
    </row>
    <row r="105" spans="1:5" ht="26.4">
      <c r="A105" s="10">
        <f t="shared" si="2"/>
        <v>43</v>
      </c>
      <c r="B105" s="161">
        <v>1</v>
      </c>
      <c r="C105" s="163" t="s">
        <v>1307</v>
      </c>
      <c r="E105" s="146">
        <f>SUM(B94:B105)</f>
        <v>35</v>
      </c>
    </row>
    <row r="106" spans="1:5">
      <c r="A106" s="10">
        <f t="shared" si="2"/>
        <v>44</v>
      </c>
      <c r="B106" s="161">
        <v>35</v>
      </c>
      <c r="C106" s="157" t="s">
        <v>1308</v>
      </c>
    </row>
    <row r="107" spans="1:5">
      <c r="A107" s="10">
        <f t="shared" si="2"/>
        <v>79</v>
      </c>
      <c r="B107" s="161">
        <v>35</v>
      </c>
      <c r="C107" s="157" t="s">
        <v>1309</v>
      </c>
    </row>
    <row r="108" spans="1:5">
      <c r="A108" s="10">
        <f t="shared" si="2"/>
        <v>114</v>
      </c>
      <c r="B108" s="161">
        <v>35</v>
      </c>
      <c r="C108" s="157" t="s">
        <v>1310</v>
      </c>
    </row>
    <row r="109" spans="1:5">
      <c r="A109" s="10">
        <f t="shared" si="2"/>
        <v>149</v>
      </c>
      <c r="B109" s="161">
        <v>35</v>
      </c>
      <c r="C109" s="157" t="s">
        <v>1311</v>
      </c>
    </row>
    <row r="110" spans="1:5">
      <c r="A110" s="10">
        <f t="shared" si="2"/>
        <v>184</v>
      </c>
      <c r="B110" s="161">
        <v>35</v>
      </c>
      <c r="C110" s="157" t="s">
        <v>1312</v>
      </c>
    </row>
    <row r="111" spans="1:5">
      <c r="A111" s="10">
        <f t="shared" si="2"/>
        <v>219</v>
      </c>
      <c r="B111" s="161">
        <v>35</v>
      </c>
      <c r="C111" s="157" t="s">
        <v>1313</v>
      </c>
    </row>
    <row r="112" spans="1:5">
      <c r="A112" s="10">
        <f t="shared" si="2"/>
        <v>254</v>
      </c>
      <c r="B112" s="161">
        <v>35</v>
      </c>
      <c r="C112" s="157" t="s">
        <v>1314</v>
      </c>
    </row>
    <row r="113" spans="1:4">
      <c r="A113" s="10">
        <f t="shared" si="2"/>
        <v>289</v>
      </c>
      <c r="B113" s="161">
        <v>35</v>
      </c>
      <c r="C113" s="157" t="s">
        <v>1315</v>
      </c>
    </row>
    <row r="114" spans="1:4">
      <c r="A114" s="10">
        <f t="shared" si="2"/>
        <v>324</v>
      </c>
      <c r="B114" s="161">
        <v>35</v>
      </c>
      <c r="C114" s="157" t="s">
        <v>1316</v>
      </c>
    </row>
    <row r="115" spans="1:4" ht="34.200000000000003">
      <c r="A115" s="10">
        <f t="shared" si="2"/>
        <v>359</v>
      </c>
      <c r="B115" s="144">
        <v>4</v>
      </c>
      <c r="C115" s="144" t="s">
        <v>129</v>
      </c>
      <c r="D115" s="145" t="s">
        <v>130</v>
      </c>
    </row>
    <row r="116" spans="1:4">
      <c r="A116" s="10">
        <f t="shared" si="2"/>
        <v>363</v>
      </c>
      <c r="B116" s="144">
        <v>1</v>
      </c>
      <c r="C116" s="144" t="s">
        <v>131</v>
      </c>
      <c r="D116" s="145" t="s">
        <v>132</v>
      </c>
    </row>
    <row r="117" spans="1:4">
      <c r="A117" s="10">
        <f t="shared" si="2"/>
        <v>364</v>
      </c>
      <c r="B117" s="157" t="s">
        <v>486</v>
      </c>
    </row>
  </sheetData>
  <mergeCells count="6">
    <mergeCell ref="A83:E84"/>
    <mergeCell ref="A2:E2"/>
    <mergeCell ref="A19:E19"/>
    <mergeCell ref="A81:E81"/>
    <mergeCell ref="A4:E5"/>
    <mergeCell ref="A21:E22"/>
  </mergeCells>
  <pageMargins left="0.69861111111111096" right="0.69861111111111096" top="0.75" bottom="0.75" header="0.51111111111111096" footer="0.51111111111111096"/>
  <pageSetup orientation="portrait" horizontalDpi="300" verticalDpi="300"/>
  <headerFooter scaleWithDoc="0"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5"/>
  <sheetViews>
    <sheetView workbookViewId="0">
      <selection activeCell="G3" sqref="G3"/>
    </sheetView>
  </sheetViews>
  <sheetFormatPr defaultColWidth="9.109375" defaultRowHeight="13.2"/>
  <cols>
    <col min="1" max="1" width="24.44140625" style="67" customWidth="1"/>
    <col min="2" max="2" width="17.6640625" style="67"/>
    <col min="3" max="3" width="26" style="67"/>
    <col min="4" max="4" width="27.109375" style="68" customWidth="1"/>
    <col min="5" max="5" width="31.21875" style="69" customWidth="1"/>
  </cols>
  <sheetData>
    <row r="1" spans="1:5" ht="15">
      <c r="A1" s="550"/>
      <c r="B1" s="550"/>
    </row>
    <row r="2" spans="1:5" ht="15.6">
      <c r="A2" s="551" t="s">
        <v>1321</v>
      </c>
      <c r="B2" s="551"/>
      <c r="C2" s="551"/>
      <c r="D2" s="551"/>
      <c r="E2" s="551"/>
    </row>
    <row r="3" spans="1:5" ht="79.05" customHeight="1">
      <c r="A3" s="552" t="s">
        <v>1322</v>
      </c>
      <c r="B3" s="553"/>
      <c r="C3" s="553"/>
      <c r="D3" s="553"/>
      <c r="E3" s="554"/>
    </row>
    <row r="4" spans="1:5" ht="15">
      <c r="A4" s="555" t="s">
        <v>1323</v>
      </c>
      <c r="B4" s="555"/>
      <c r="C4" s="555"/>
      <c r="D4" s="555"/>
      <c r="E4" s="555"/>
    </row>
    <row r="6" spans="1:5" ht="15">
      <c r="A6" s="72" t="s">
        <v>110</v>
      </c>
      <c r="B6" s="72" t="s">
        <v>111</v>
      </c>
      <c r="C6" s="73" t="s">
        <v>112</v>
      </c>
      <c r="D6" s="74" t="s">
        <v>113</v>
      </c>
      <c r="E6" s="70"/>
    </row>
    <row r="7" spans="1:5">
      <c r="A7" s="67">
        <v>0</v>
      </c>
      <c r="B7" s="67">
        <v>1</v>
      </c>
      <c r="C7" s="67" t="s">
        <v>114</v>
      </c>
      <c r="D7" s="68" t="s">
        <v>115</v>
      </c>
    </row>
    <row r="8" spans="1:5">
      <c r="A8" s="67">
        <f>A7+B7</f>
        <v>1</v>
      </c>
      <c r="B8" s="67">
        <v>1</v>
      </c>
      <c r="C8" s="67" t="s">
        <v>527</v>
      </c>
    </row>
    <row r="9" spans="1:5">
      <c r="A9" s="67">
        <f t="shared" ref="A9:A30" si="0">A8+B8</f>
        <v>2</v>
      </c>
      <c r="B9" s="67">
        <v>1</v>
      </c>
      <c r="C9" s="67" t="s">
        <v>118</v>
      </c>
    </row>
    <row r="10" spans="1:5" ht="34.200000000000003">
      <c r="A10" s="67">
        <f t="shared" si="0"/>
        <v>3</v>
      </c>
      <c r="B10" s="67">
        <v>1</v>
      </c>
      <c r="C10" s="40" t="s">
        <v>1324</v>
      </c>
      <c r="D10" s="68" t="s">
        <v>1325</v>
      </c>
      <c r="E10" s="75"/>
    </row>
    <row r="11" spans="1:5">
      <c r="A11" s="67">
        <f t="shared" si="0"/>
        <v>4</v>
      </c>
      <c r="C11" s="143" t="s">
        <v>1326</v>
      </c>
      <c r="E11" s="75"/>
    </row>
    <row r="12" spans="1:5" ht="26.4">
      <c r="A12" s="67">
        <f t="shared" si="0"/>
        <v>4</v>
      </c>
      <c r="B12" s="67">
        <v>1</v>
      </c>
      <c r="C12" s="143" t="s">
        <v>1327</v>
      </c>
      <c r="D12" s="68" t="s">
        <v>1328</v>
      </c>
      <c r="E12" s="75"/>
    </row>
    <row r="13" spans="1:5" ht="342">
      <c r="A13" s="67">
        <f t="shared" si="0"/>
        <v>5</v>
      </c>
      <c r="B13" s="80" t="s">
        <v>163</v>
      </c>
      <c r="C13" s="80" t="s">
        <v>493</v>
      </c>
      <c r="D13" s="49" t="s">
        <v>1329</v>
      </c>
      <c r="E13" s="127" t="s">
        <v>1330</v>
      </c>
    </row>
    <row r="14" spans="1:5" ht="26.4">
      <c r="A14" s="67">
        <f t="shared" si="0"/>
        <v>6</v>
      </c>
      <c r="B14" s="80">
        <v>1</v>
      </c>
      <c r="C14" s="40" t="s">
        <v>1331</v>
      </c>
      <c r="D14" s="68" t="s">
        <v>1328</v>
      </c>
      <c r="E14" s="75"/>
    </row>
    <row r="15" spans="1:5" ht="22.8">
      <c r="A15" s="67">
        <f t="shared" si="0"/>
        <v>7</v>
      </c>
      <c r="B15" s="67">
        <v>1</v>
      </c>
      <c r="C15" s="40" t="s">
        <v>1332</v>
      </c>
      <c r="D15" s="68" t="s">
        <v>1333</v>
      </c>
      <c r="E15" s="75"/>
    </row>
    <row r="16" spans="1:5" ht="22.8">
      <c r="A16" s="67">
        <f t="shared" si="0"/>
        <v>8</v>
      </c>
      <c r="B16" s="67">
        <v>1</v>
      </c>
      <c r="C16" s="40" t="s">
        <v>1334</v>
      </c>
      <c r="D16" s="68" t="s">
        <v>1328</v>
      </c>
      <c r="E16" s="75"/>
    </row>
    <row r="17" spans="1:5" ht="34.200000000000003">
      <c r="A17" s="67">
        <f t="shared" si="0"/>
        <v>9</v>
      </c>
      <c r="B17" s="67">
        <v>1</v>
      </c>
      <c r="C17" s="40" t="s">
        <v>1335</v>
      </c>
      <c r="D17" s="68" t="s">
        <v>1336</v>
      </c>
      <c r="E17" s="75"/>
    </row>
    <row r="18" spans="1:5" ht="22.8">
      <c r="A18" s="67">
        <f t="shared" si="0"/>
        <v>10</v>
      </c>
      <c r="B18" s="67">
        <v>1</v>
      </c>
      <c r="C18" s="76" t="s">
        <v>1337</v>
      </c>
      <c r="D18" s="68" t="s">
        <v>1328</v>
      </c>
      <c r="E18" s="75"/>
    </row>
    <row r="19" spans="1:5" ht="22.8">
      <c r="A19" s="67">
        <f t="shared" si="0"/>
        <v>11</v>
      </c>
      <c r="B19" s="67">
        <v>2</v>
      </c>
      <c r="C19" s="76" t="s">
        <v>121</v>
      </c>
      <c r="D19" s="68" t="s">
        <v>122</v>
      </c>
      <c r="E19" s="75"/>
    </row>
    <row r="20" spans="1:5" ht="22.8">
      <c r="A20" s="67">
        <f t="shared" si="0"/>
        <v>13</v>
      </c>
      <c r="B20" s="67">
        <v>1</v>
      </c>
      <c r="C20" s="76" t="s">
        <v>1338</v>
      </c>
      <c r="D20" s="68" t="s">
        <v>1328</v>
      </c>
      <c r="E20" s="75"/>
    </row>
    <row r="21" spans="1:5" ht="22.8">
      <c r="A21" s="67">
        <f t="shared" si="0"/>
        <v>14</v>
      </c>
      <c r="B21" s="67">
        <v>2</v>
      </c>
      <c r="C21" s="40" t="s">
        <v>1339</v>
      </c>
      <c r="D21" s="68" t="s">
        <v>1340</v>
      </c>
      <c r="E21" s="75"/>
    </row>
    <row r="22" spans="1:5" ht="22.8">
      <c r="A22" s="67">
        <f t="shared" si="0"/>
        <v>16</v>
      </c>
      <c r="B22" s="67">
        <v>1</v>
      </c>
      <c r="C22" s="40" t="s">
        <v>1341</v>
      </c>
      <c r="D22" s="68" t="s">
        <v>1328</v>
      </c>
      <c r="E22" s="75"/>
    </row>
    <row r="23" spans="1:5" ht="22.8">
      <c r="A23" s="67">
        <f t="shared" si="0"/>
        <v>17</v>
      </c>
      <c r="B23" s="67">
        <v>1</v>
      </c>
      <c r="C23" s="40" t="s">
        <v>1342</v>
      </c>
      <c r="D23" s="68" t="s">
        <v>1343</v>
      </c>
      <c r="E23" s="75"/>
    </row>
    <row r="24" spans="1:5" ht="26.4">
      <c r="A24" s="67">
        <f t="shared" si="0"/>
        <v>18</v>
      </c>
      <c r="B24" s="67">
        <v>1</v>
      </c>
      <c r="C24" s="40" t="s">
        <v>1344</v>
      </c>
      <c r="D24" s="68" t="s">
        <v>1328</v>
      </c>
      <c r="E24" s="75"/>
    </row>
    <row r="25" spans="1:5" ht="22.8">
      <c r="A25" s="67">
        <f t="shared" si="0"/>
        <v>19</v>
      </c>
      <c r="B25" s="67">
        <v>1</v>
      </c>
      <c r="C25" s="40" t="s">
        <v>1345</v>
      </c>
      <c r="D25" s="68" t="s">
        <v>1346</v>
      </c>
      <c r="E25" s="75"/>
    </row>
    <row r="26" spans="1:5" ht="26.4">
      <c r="A26" s="67">
        <f t="shared" si="0"/>
        <v>20</v>
      </c>
      <c r="B26" s="67">
        <v>1</v>
      </c>
      <c r="C26" s="40" t="s">
        <v>1347</v>
      </c>
      <c r="D26" s="68" t="s">
        <v>1328</v>
      </c>
      <c r="E26" s="75"/>
    </row>
    <row r="27" spans="1:5" ht="22.8">
      <c r="A27" s="67">
        <f t="shared" si="0"/>
        <v>21</v>
      </c>
      <c r="B27" s="67">
        <v>1</v>
      </c>
      <c r="C27" s="40" t="s">
        <v>1348</v>
      </c>
      <c r="D27" s="68" t="s">
        <v>1328</v>
      </c>
      <c r="E27" s="75"/>
    </row>
    <row r="28" spans="1:5">
      <c r="A28" s="67">
        <f t="shared" si="0"/>
        <v>22</v>
      </c>
      <c r="B28" s="67">
        <v>12</v>
      </c>
      <c r="C28" s="40" t="s">
        <v>1349</v>
      </c>
      <c r="D28" s="68" t="s">
        <v>1350</v>
      </c>
      <c r="E28" s="75"/>
    </row>
    <row r="29" spans="1:5" ht="34.200000000000003">
      <c r="A29" s="67">
        <f t="shared" si="0"/>
        <v>34</v>
      </c>
      <c r="B29" s="67">
        <v>4</v>
      </c>
      <c r="C29" s="67" t="s">
        <v>129</v>
      </c>
      <c r="D29" s="68" t="s">
        <v>130</v>
      </c>
    </row>
    <row r="30" spans="1:5">
      <c r="A30" s="67">
        <f t="shared" si="0"/>
        <v>38</v>
      </c>
      <c r="B30" s="67">
        <v>1</v>
      </c>
      <c r="C30" s="67" t="s">
        <v>131</v>
      </c>
      <c r="D30" s="68" t="s">
        <v>132</v>
      </c>
    </row>
    <row r="31" spans="1:5">
      <c r="C31" s="76"/>
    </row>
    <row r="32" spans="1:5">
      <c r="C32" s="76"/>
    </row>
    <row r="33" spans="1:5" ht="15">
      <c r="A33" s="550"/>
      <c r="B33" s="550"/>
      <c r="C33" s="76"/>
    </row>
    <row r="34" spans="1:5" ht="15.6">
      <c r="A34" s="551" t="s">
        <v>1351</v>
      </c>
      <c r="B34" s="551"/>
      <c r="C34" s="551"/>
      <c r="D34" s="551"/>
      <c r="E34" s="551"/>
    </row>
    <row r="35" spans="1:5" ht="15">
      <c r="A35" s="71"/>
      <c r="B35" s="71"/>
      <c r="C35" s="71"/>
      <c r="D35" s="77"/>
    </row>
    <row r="36" spans="1:5" ht="15">
      <c r="A36" s="555" t="s">
        <v>1352</v>
      </c>
      <c r="B36" s="555"/>
      <c r="C36" s="555"/>
      <c r="D36" s="555"/>
      <c r="E36" s="555"/>
    </row>
    <row r="38" spans="1:5">
      <c r="A38" s="55" t="s">
        <v>110</v>
      </c>
      <c r="B38" s="78" t="s">
        <v>111</v>
      </c>
      <c r="C38" s="79" t="s">
        <v>112</v>
      </c>
      <c r="D38" s="75" t="s">
        <v>113</v>
      </c>
      <c r="E38" s="80"/>
    </row>
    <row r="39" spans="1:5">
      <c r="A39" s="78">
        <v>0</v>
      </c>
      <c r="B39" s="78">
        <v>1</v>
      </c>
      <c r="C39" s="78" t="s">
        <v>135</v>
      </c>
      <c r="D39" s="68" t="s">
        <v>115</v>
      </c>
      <c r="E39" s="81"/>
    </row>
    <row r="40" spans="1:5">
      <c r="A40" s="78">
        <f t="shared" ref="A40:A45" si="1">A39+B39</f>
        <v>1</v>
      </c>
      <c r="B40" s="78">
        <v>1</v>
      </c>
      <c r="C40" s="78" t="s">
        <v>527</v>
      </c>
      <c r="E40" s="81"/>
    </row>
    <row r="41" spans="1:5">
      <c r="A41" s="78">
        <f t="shared" si="1"/>
        <v>2</v>
      </c>
      <c r="B41" s="78">
        <v>1</v>
      </c>
      <c r="C41" s="55" t="s">
        <v>118</v>
      </c>
      <c r="E41" s="81"/>
    </row>
    <row r="42" spans="1:5" ht="22.8">
      <c r="A42" s="78" t="e">
        <f>#REF!+#REF!</f>
        <v>#REF!</v>
      </c>
      <c r="B42" s="78">
        <v>1</v>
      </c>
      <c r="C42" s="55" t="s">
        <v>1353</v>
      </c>
      <c r="D42" s="113" t="s">
        <v>1354</v>
      </c>
      <c r="E42" s="75"/>
    </row>
    <row r="43" spans="1:5" ht="45.6">
      <c r="A43" s="78" t="e">
        <f t="shared" si="1"/>
        <v>#REF!</v>
      </c>
      <c r="B43" s="80">
        <v>4</v>
      </c>
      <c r="C43" s="80" t="s">
        <v>129</v>
      </c>
      <c r="D43" s="68" t="s">
        <v>485</v>
      </c>
      <c r="E43" s="81"/>
    </row>
    <row r="44" spans="1:5">
      <c r="A44" s="78" t="e">
        <f t="shared" si="1"/>
        <v>#REF!</v>
      </c>
      <c r="B44" s="80">
        <v>1</v>
      </c>
      <c r="C44" s="80" t="s">
        <v>131</v>
      </c>
      <c r="D44" s="68" t="s">
        <v>132</v>
      </c>
      <c r="E44" s="81"/>
    </row>
    <row r="45" spans="1:5">
      <c r="A45" s="78" t="e">
        <f t="shared" si="1"/>
        <v>#REF!</v>
      </c>
      <c r="B45" s="86" t="s">
        <v>486</v>
      </c>
      <c r="C45" s="80"/>
      <c r="E45" s="81"/>
    </row>
  </sheetData>
  <mergeCells count="7">
    <mergeCell ref="A34:E34"/>
    <mergeCell ref="A36:E36"/>
    <mergeCell ref="A1:B1"/>
    <mergeCell ref="A2:E2"/>
    <mergeCell ref="A3:E3"/>
    <mergeCell ref="A4:E4"/>
    <mergeCell ref="A33:B33"/>
  </mergeCells>
  <pageMargins left="0.69861111111111096" right="0.69861111111111096" top="0.75" bottom="0.75" header="0.3" footer="0.3"/>
  <headerFooter scaleWithDoc="0"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71"/>
  <sheetViews>
    <sheetView workbookViewId="0">
      <selection activeCell="D54" sqref="D54"/>
    </sheetView>
  </sheetViews>
  <sheetFormatPr defaultColWidth="9.109375" defaultRowHeight="13.2"/>
  <cols>
    <col min="1" max="1" width="24.44140625" style="30" customWidth="1"/>
    <col min="2" max="2" width="17.6640625" style="30" customWidth="1"/>
    <col min="3" max="3" width="26" style="31" customWidth="1"/>
    <col min="4" max="4" width="48.88671875" style="41" customWidth="1"/>
    <col min="5" max="5" width="31.21875" style="33" customWidth="1"/>
  </cols>
  <sheetData>
    <row r="1" spans="1:5" ht="15">
      <c r="A1" s="34"/>
      <c r="B1" s="34"/>
    </row>
    <row r="2" spans="1:5" ht="15">
      <c r="A2" s="556" t="s">
        <v>73</v>
      </c>
      <c r="B2" s="556"/>
      <c r="C2" s="556"/>
      <c r="D2" s="556"/>
      <c r="E2" s="556"/>
    </row>
    <row r="4" spans="1:5" ht="15">
      <c r="A4" s="556" t="s">
        <v>1023</v>
      </c>
      <c r="B4" s="556"/>
      <c r="C4" s="556"/>
      <c r="D4" s="556"/>
      <c r="E4" s="556"/>
    </row>
    <row r="5" spans="1:5" ht="15">
      <c r="A5" s="35"/>
      <c r="B5" s="35"/>
      <c r="D5" s="61"/>
    </row>
    <row r="6" spans="1:5">
      <c r="A6" s="557" t="s">
        <v>524</v>
      </c>
      <c r="B6" s="557"/>
      <c r="C6" s="557"/>
      <c r="D6" s="557"/>
      <c r="E6" s="557"/>
    </row>
    <row r="7" spans="1:5">
      <c r="A7" s="557"/>
      <c r="B7" s="557"/>
      <c r="C7" s="557"/>
      <c r="D7" s="557"/>
      <c r="E7" s="557"/>
    </row>
    <row r="8" spans="1:5">
      <c r="A8" s="557"/>
      <c r="B8" s="557"/>
      <c r="C8" s="557"/>
      <c r="D8" s="557"/>
      <c r="E8" s="557"/>
    </row>
    <row r="9" spans="1:5">
      <c r="A9" s="557"/>
      <c r="B9" s="557"/>
      <c r="C9" s="557"/>
      <c r="D9" s="557"/>
      <c r="E9" s="557"/>
    </row>
    <row r="10" spans="1:5" ht="72.75" customHeight="1">
      <c r="A10" s="557"/>
      <c r="B10" s="557"/>
      <c r="C10" s="557"/>
      <c r="D10" s="557"/>
      <c r="E10" s="557"/>
    </row>
    <row r="11" spans="1:5">
      <c r="A11" s="62"/>
      <c r="B11" s="62"/>
      <c r="C11" s="62"/>
      <c r="D11" s="62"/>
      <c r="E11" s="62"/>
    </row>
    <row r="13" spans="1:5" ht="15">
      <c r="A13" s="37" t="s">
        <v>110</v>
      </c>
      <c r="B13" s="37" t="s">
        <v>111</v>
      </c>
      <c r="C13" s="38" t="s">
        <v>112</v>
      </c>
      <c r="D13" s="63" t="s">
        <v>113</v>
      </c>
      <c r="E13" s="34"/>
    </row>
    <row r="14" spans="1:5">
      <c r="A14" s="30">
        <v>0</v>
      </c>
      <c r="B14" s="30">
        <v>1</v>
      </c>
      <c r="C14" s="31" t="s">
        <v>114</v>
      </c>
      <c r="D14" s="41" t="s">
        <v>115</v>
      </c>
    </row>
    <row r="15" spans="1:5">
      <c r="A15" s="30">
        <f t="shared" ref="A15:A71" si="0">A14+B14</f>
        <v>1</v>
      </c>
      <c r="B15" s="30">
        <v>1</v>
      </c>
      <c r="C15" s="31" t="s">
        <v>770</v>
      </c>
      <c r="D15" s="41" t="s">
        <v>917</v>
      </c>
    </row>
    <row r="16" spans="1:5">
      <c r="A16" s="30">
        <f t="shared" si="0"/>
        <v>2</v>
      </c>
      <c r="B16" s="30">
        <v>1</v>
      </c>
      <c r="C16" s="31" t="s">
        <v>1024</v>
      </c>
      <c r="D16" s="41" t="s">
        <v>1025</v>
      </c>
    </row>
    <row r="17" spans="1:5" ht="39.6">
      <c r="A17" s="30">
        <f t="shared" si="0"/>
        <v>3</v>
      </c>
      <c r="B17" s="30">
        <v>2</v>
      </c>
      <c r="C17" s="40" t="s">
        <v>120</v>
      </c>
      <c r="D17" s="55" t="str">
        <f>DEC2HEX(A71-5)</f>
        <v>4B</v>
      </c>
      <c r="E17" s="41"/>
    </row>
    <row r="18" spans="1:5">
      <c r="A18" s="30">
        <f t="shared" si="0"/>
        <v>5</v>
      </c>
      <c r="B18" s="30">
        <v>1</v>
      </c>
      <c r="C18" s="64" t="s">
        <v>1355</v>
      </c>
      <c r="D18" s="557" t="s">
        <v>1356</v>
      </c>
      <c r="E18" s="41"/>
    </row>
    <row r="19" spans="1:5">
      <c r="A19" s="30">
        <f t="shared" si="0"/>
        <v>6</v>
      </c>
      <c r="B19" s="30">
        <v>1</v>
      </c>
      <c r="C19" s="64" t="s">
        <v>1357</v>
      </c>
      <c r="D19" s="557"/>
      <c r="E19" s="41"/>
    </row>
    <row r="20" spans="1:5" ht="57">
      <c r="A20" s="30">
        <f t="shared" si="0"/>
        <v>7</v>
      </c>
      <c r="B20" s="30">
        <v>3</v>
      </c>
      <c r="C20" s="45" t="s">
        <v>1358</v>
      </c>
      <c r="D20" s="41" t="s">
        <v>1359</v>
      </c>
    </row>
    <row r="21" spans="1:5">
      <c r="A21" s="30">
        <f t="shared" si="0"/>
        <v>10</v>
      </c>
      <c r="B21" s="30">
        <v>1</v>
      </c>
      <c r="C21" s="44" t="s">
        <v>1360</v>
      </c>
      <c r="D21" s="44" t="s">
        <v>596</v>
      </c>
    </row>
    <row r="22" spans="1:5" ht="27.6">
      <c r="A22" s="30">
        <f t="shared" si="0"/>
        <v>11</v>
      </c>
      <c r="B22" s="30">
        <v>1</v>
      </c>
      <c r="C22" s="44" t="s">
        <v>1361</v>
      </c>
      <c r="D22" s="66" t="s">
        <v>598</v>
      </c>
    </row>
    <row r="23" spans="1:5">
      <c r="A23" s="30">
        <f t="shared" si="0"/>
        <v>12</v>
      </c>
      <c r="B23" s="30">
        <v>1</v>
      </c>
      <c r="C23" s="44" t="s">
        <v>1362</v>
      </c>
      <c r="D23" s="44" t="s">
        <v>596</v>
      </c>
    </row>
    <row r="24" spans="1:5" ht="27.6">
      <c r="A24" s="30">
        <f t="shared" si="0"/>
        <v>13</v>
      </c>
      <c r="B24" s="30">
        <v>1</v>
      </c>
      <c r="C24" s="44" t="s">
        <v>1363</v>
      </c>
      <c r="D24" s="66" t="s">
        <v>598</v>
      </c>
    </row>
    <row r="25" spans="1:5">
      <c r="A25" s="30">
        <f t="shared" si="0"/>
        <v>14</v>
      </c>
      <c r="B25" s="30">
        <v>1</v>
      </c>
      <c r="C25" s="44" t="s">
        <v>1364</v>
      </c>
      <c r="D25" s="44" t="s">
        <v>596</v>
      </c>
    </row>
    <row r="26" spans="1:5" ht="27.6">
      <c r="A26" s="30">
        <f t="shared" si="0"/>
        <v>15</v>
      </c>
      <c r="B26" s="30">
        <v>1</v>
      </c>
      <c r="C26" s="44" t="s">
        <v>224</v>
      </c>
      <c r="D26" s="66" t="s">
        <v>598</v>
      </c>
    </row>
    <row r="27" spans="1:5">
      <c r="A27" s="30">
        <f t="shared" si="0"/>
        <v>16</v>
      </c>
      <c r="B27" s="30">
        <v>1</v>
      </c>
      <c r="C27" s="44" t="s">
        <v>602</v>
      </c>
      <c r="D27" s="44" t="s">
        <v>596</v>
      </c>
    </row>
    <row r="28" spans="1:5" ht="27.6">
      <c r="A28" s="30">
        <f t="shared" si="0"/>
        <v>17</v>
      </c>
      <c r="B28" s="30">
        <v>1</v>
      </c>
      <c r="C28" s="44" t="s">
        <v>225</v>
      </c>
      <c r="D28" s="66" t="s">
        <v>598</v>
      </c>
    </row>
    <row r="29" spans="1:5">
      <c r="A29" s="30">
        <f t="shared" si="0"/>
        <v>18</v>
      </c>
      <c r="B29" s="30">
        <v>1</v>
      </c>
      <c r="C29" s="44" t="s">
        <v>603</v>
      </c>
      <c r="D29" s="44" t="s">
        <v>596</v>
      </c>
    </row>
    <row r="30" spans="1:5" ht="27.6">
      <c r="A30" s="30">
        <f t="shared" si="0"/>
        <v>19</v>
      </c>
      <c r="B30" s="30">
        <v>1</v>
      </c>
      <c r="C30" s="44" t="s">
        <v>226</v>
      </c>
      <c r="D30" s="66" t="s">
        <v>598</v>
      </c>
    </row>
    <row r="31" spans="1:5">
      <c r="A31" s="30">
        <f t="shared" si="0"/>
        <v>20</v>
      </c>
      <c r="B31" s="30">
        <v>1</v>
      </c>
      <c r="C31" s="44" t="s">
        <v>604</v>
      </c>
      <c r="D31" s="44" t="s">
        <v>596</v>
      </c>
    </row>
    <row r="32" spans="1:5" ht="27.6">
      <c r="A32" s="30">
        <f t="shared" si="0"/>
        <v>21</v>
      </c>
      <c r="B32" s="30">
        <v>1</v>
      </c>
      <c r="C32" s="44" t="s">
        <v>227</v>
      </c>
      <c r="D32" s="66" t="s">
        <v>598</v>
      </c>
    </row>
    <row r="33" spans="1:4">
      <c r="A33" s="30">
        <f t="shared" si="0"/>
        <v>22</v>
      </c>
      <c r="B33" s="30">
        <v>1</v>
      </c>
      <c r="C33" s="44" t="s">
        <v>605</v>
      </c>
      <c r="D33" s="44" t="s">
        <v>596</v>
      </c>
    </row>
    <row r="34" spans="1:4" ht="27.6">
      <c r="A34" s="30">
        <f t="shared" si="0"/>
        <v>23</v>
      </c>
      <c r="B34" s="30">
        <v>1</v>
      </c>
      <c r="C34" s="44" t="s">
        <v>228</v>
      </c>
      <c r="D34" s="66" t="s">
        <v>598</v>
      </c>
    </row>
    <row r="35" spans="1:4">
      <c r="A35" s="30">
        <f t="shared" si="0"/>
        <v>24</v>
      </c>
      <c r="B35" s="30">
        <v>1</v>
      </c>
      <c r="C35" s="44" t="s">
        <v>606</v>
      </c>
      <c r="D35" s="44" t="s">
        <v>596</v>
      </c>
    </row>
    <row r="36" spans="1:4" ht="27.6">
      <c r="A36" s="30">
        <f t="shared" si="0"/>
        <v>25</v>
      </c>
      <c r="B36" s="30">
        <v>1</v>
      </c>
      <c r="C36" s="44" t="s">
        <v>229</v>
      </c>
      <c r="D36" s="66" t="s">
        <v>598</v>
      </c>
    </row>
    <row r="37" spans="1:4">
      <c r="A37" s="30">
        <f t="shared" si="0"/>
        <v>26</v>
      </c>
      <c r="B37" s="30">
        <v>1</v>
      </c>
      <c r="C37" s="44" t="s">
        <v>607</v>
      </c>
      <c r="D37" s="44" t="s">
        <v>596</v>
      </c>
    </row>
    <row r="38" spans="1:4" ht="27.6">
      <c r="A38" s="30">
        <f t="shared" si="0"/>
        <v>27</v>
      </c>
      <c r="B38" s="30">
        <v>1</v>
      </c>
      <c r="C38" s="44" t="s">
        <v>1365</v>
      </c>
      <c r="D38" s="66" t="s">
        <v>598</v>
      </c>
    </row>
    <row r="39" spans="1:4">
      <c r="A39" s="30">
        <f t="shared" si="0"/>
        <v>28</v>
      </c>
      <c r="B39" s="30">
        <v>1</v>
      </c>
      <c r="C39" s="44" t="s">
        <v>1366</v>
      </c>
      <c r="D39" s="44" t="s">
        <v>596</v>
      </c>
    </row>
    <row r="40" spans="1:4" ht="41.4">
      <c r="A40" s="30">
        <f t="shared" si="0"/>
        <v>29</v>
      </c>
      <c r="B40" s="30">
        <v>1</v>
      </c>
      <c r="C40" s="44" t="s">
        <v>1367</v>
      </c>
      <c r="D40" s="66" t="s">
        <v>1368</v>
      </c>
    </row>
    <row r="41" spans="1:4" ht="26.4">
      <c r="A41" s="30">
        <f t="shared" si="0"/>
        <v>30</v>
      </c>
      <c r="B41" s="30">
        <v>1</v>
      </c>
      <c r="C41" s="44" t="s">
        <v>1369</v>
      </c>
      <c r="D41" s="51" t="s">
        <v>1370</v>
      </c>
    </row>
    <row r="42" spans="1:4" ht="27.6">
      <c r="A42" s="30">
        <f t="shared" si="0"/>
        <v>31</v>
      </c>
      <c r="B42" s="30">
        <v>1</v>
      </c>
      <c r="C42" s="44" t="s">
        <v>230</v>
      </c>
      <c r="D42" s="66" t="s">
        <v>598</v>
      </c>
    </row>
    <row r="43" spans="1:4">
      <c r="A43" s="30">
        <f t="shared" si="0"/>
        <v>32</v>
      </c>
      <c r="B43" s="30">
        <v>1</v>
      </c>
      <c r="C43" s="44" t="s">
        <v>611</v>
      </c>
      <c r="D43" s="44" t="s">
        <v>596</v>
      </c>
    </row>
    <row r="44" spans="1:4" ht="27.6">
      <c r="A44" s="30">
        <f t="shared" si="0"/>
        <v>33</v>
      </c>
      <c r="B44" s="30">
        <v>1</v>
      </c>
      <c r="C44" s="44" t="s">
        <v>231</v>
      </c>
      <c r="D44" s="66" t="s">
        <v>598</v>
      </c>
    </row>
    <row r="45" spans="1:4">
      <c r="A45" s="30">
        <f t="shared" si="0"/>
        <v>34</v>
      </c>
      <c r="B45" s="30">
        <v>1</v>
      </c>
      <c r="C45" s="44" t="s">
        <v>612</v>
      </c>
      <c r="D45" s="44" t="s">
        <v>596</v>
      </c>
    </row>
    <row r="46" spans="1:4">
      <c r="A46" s="30">
        <f t="shared" si="0"/>
        <v>35</v>
      </c>
      <c r="B46" s="30">
        <v>3</v>
      </c>
      <c r="C46" s="51" t="s">
        <v>744</v>
      </c>
      <c r="D46" s="558" t="s">
        <v>614</v>
      </c>
    </row>
    <row r="47" spans="1:4">
      <c r="A47" s="30">
        <f t="shared" si="0"/>
        <v>38</v>
      </c>
      <c r="B47" s="30">
        <v>1</v>
      </c>
      <c r="C47" s="44" t="s">
        <v>746</v>
      </c>
      <c r="D47" s="558"/>
    </row>
    <row r="48" spans="1:4">
      <c r="A48" s="30">
        <f t="shared" si="0"/>
        <v>39</v>
      </c>
      <c r="B48" s="30">
        <v>2</v>
      </c>
      <c r="C48" s="44" t="s">
        <v>146</v>
      </c>
      <c r="D48" s="41" t="s">
        <v>617</v>
      </c>
    </row>
    <row r="49" spans="1:4">
      <c r="A49" s="30">
        <f t="shared" si="0"/>
        <v>41</v>
      </c>
      <c r="B49" s="30">
        <v>1</v>
      </c>
      <c r="C49" s="44" t="s">
        <v>618</v>
      </c>
      <c r="D49" s="44" t="s">
        <v>596</v>
      </c>
    </row>
    <row r="50" spans="1:4" ht="27.6">
      <c r="A50" s="30">
        <f t="shared" si="0"/>
        <v>42</v>
      </c>
      <c r="B50" s="30">
        <v>1</v>
      </c>
      <c r="C50" s="51" t="s">
        <v>173</v>
      </c>
      <c r="D50" s="66" t="s">
        <v>598</v>
      </c>
    </row>
    <row r="51" spans="1:4">
      <c r="A51" s="30">
        <f t="shared" si="0"/>
        <v>43</v>
      </c>
      <c r="B51" s="30">
        <v>1</v>
      </c>
      <c r="C51" s="44" t="s">
        <v>619</v>
      </c>
      <c r="D51" s="44" t="s">
        <v>596</v>
      </c>
    </row>
    <row r="52" spans="1:4" ht="27.6">
      <c r="A52" s="30">
        <f t="shared" si="0"/>
        <v>44</v>
      </c>
      <c r="B52" s="30">
        <v>1</v>
      </c>
      <c r="C52" s="51" t="s">
        <v>177</v>
      </c>
      <c r="D52" s="66" t="s">
        <v>598</v>
      </c>
    </row>
    <row r="53" spans="1:4">
      <c r="A53" s="30">
        <f t="shared" si="0"/>
        <v>45</v>
      </c>
      <c r="B53" s="30">
        <v>1</v>
      </c>
      <c r="C53" s="44" t="s">
        <v>620</v>
      </c>
      <c r="D53" s="44" t="s">
        <v>596</v>
      </c>
    </row>
    <row r="54" spans="1:4" ht="27.6">
      <c r="A54" s="30">
        <f t="shared" si="0"/>
        <v>46</v>
      </c>
      <c r="B54" s="30">
        <v>1</v>
      </c>
      <c r="C54" s="51" t="s">
        <v>179</v>
      </c>
      <c r="D54" s="66" t="s">
        <v>598</v>
      </c>
    </row>
    <row r="55" spans="1:4">
      <c r="A55" s="30">
        <f t="shared" si="0"/>
        <v>47</v>
      </c>
      <c r="B55" s="30">
        <v>1</v>
      </c>
      <c r="C55" s="44" t="s">
        <v>1371</v>
      </c>
      <c r="D55" s="44" t="s">
        <v>596</v>
      </c>
    </row>
    <row r="56" spans="1:4" ht="27.6">
      <c r="A56" s="30">
        <f t="shared" si="0"/>
        <v>48</v>
      </c>
      <c r="B56" s="30">
        <v>1</v>
      </c>
      <c r="C56" s="51" t="s">
        <v>180</v>
      </c>
      <c r="D56" s="66" t="s">
        <v>598</v>
      </c>
    </row>
    <row r="57" spans="1:4">
      <c r="A57" s="30">
        <f t="shared" si="0"/>
        <v>49</v>
      </c>
      <c r="B57" s="30">
        <v>1</v>
      </c>
      <c r="C57" s="44" t="s">
        <v>1372</v>
      </c>
      <c r="D57" s="44" t="s">
        <v>596</v>
      </c>
    </row>
    <row r="58" spans="1:4" ht="27.6">
      <c r="A58" s="30">
        <f t="shared" si="0"/>
        <v>50</v>
      </c>
      <c r="B58" s="30">
        <v>1</v>
      </c>
      <c r="C58" s="51" t="s">
        <v>182</v>
      </c>
      <c r="D58" s="66" t="s">
        <v>598</v>
      </c>
    </row>
    <row r="59" spans="1:4">
      <c r="A59" s="30">
        <f t="shared" si="0"/>
        <v>51</v>
      </c>
      <c r="B59" s="30">
        <v>1</v>
      </c>
      <c r="C59" s="44" t="s">
        <v>1373</v>
      </c>
      <c r="D59" s="44" t="s">
        <v>596</v>
      </c>
    </row>
    <row r="60" spans="1:4" ht="41.4">
      <c r="A60" s="30">
        <f t="shared" si="0"/>
        <v>52</v>
      </c>
      <c r="B60" s="30">
        <v>1</v>
      </c>
      <c r="C60" s="44" t="s">
        <v>1374</v>
      </c>
      <c r="D60" s="66" t="s">
        <v>1375</v>
      </c>
    </row>
    <row r="61" spans="1:4">
      <c r="A61" s="30">
        <f t="shared" si="0"/>
        <v>53</v>
      </c>
      <c r="B61" s="30">
        <v>1</v>
      </c>
      <c r="C61" s="44" t="s">
        <v>1376</v>
      </c>
      <c r="D61" s="44" t="s">
        <v>596</v>
      </c>
    </row>
    <row r="62" spans="1:4" ht="13.8">
      <c r="A62" s="30">
        <f t="shared" si="0"/>
        <v>54</v>
      </c>
      <c r="B62" s="30">
        <v>2</v>
      </c>
      <c r="C62" s="44" t="s">
        <v>632</v>
      </c>
      <c r="D62" s="66" t="s">
        <v>633</v>
      </c>
    </row>
    <row r="63" spans="1:4">
      <c r="A63" s="30">
        <f t="shared" si="0"/>
        <v>56</v>
      </c>
      <c r="B63" s="30">
        <v>1</v>
      </c>
      <c r="C63" s="44" t="s">
        <v>635</v>
      </c>
      <c r="D63" s="44" t="s">
        <v>596</v>
      </c>
    </row>
    <row r="64" spans="1:4" ht="105.6">
      <c r="A64" s="30">
        <f t="shared" si="0"/>
        <v>57</v>
      </c>
      <c r="B64" s="30">
        <v>8</v>
      </c>
      <c r="C64" s="44" t="s">
        <v>636</v>
      </c>
      <c r="D64" s="51" t="s">
        <v>637</v>
      </c>
    </row>
    <row r="65" spans="1:4">
      <c r="A65" s="30">
        <f t="shared" si="0"/>
        <v>65</v>
      </c>
      <c r="B65" s="30">
        <v>1</v>
      </c>
      <c r="C65" s="44" t="s">
        <v>638</v>
      </c>
      <c r="D65" s="44" t="s">
        <v>596</v>
      </c>
    </row>
    <row r="66" spans="1:4" ht="79.2">
      <c r="A66" s="30">
        <f t="shared" si="0"/>
        <v>66</v>
      </c>
      <c r="B66" s="30">
        <v>6</v>
      </c>
      <c r="C66" s="44" t="s">
        <v>639</v>
      </c>
      <c r="D66" s="51" t="s">
        <v>640</v>
      </c>
    </row>
    <row r="67" spans="1:4">
      <c r="A67" s="30">
        <f t="shared" si="0"/>
        <v>72</v>
      </c>
      <c r="B67" s="30">
        <v>1</v>
      </c>
      <c r="C67" s="44" t="s">
        <v>641</v>
      </c>
      <c r="D67" s="44" t="s">
        <v>596</v>
      </c>
    </row>
    <row r="68" spans="1:4">
      <c r="A68" s="30">
        <f t="shared" si="0"/>
        <v>73</v>
      </c>
      <c r="B68" s="30">
        <v>2</v>
      </c>
      <c r="C68" s="30" t="s">
        <v>127</v>
      </c>
      <c r="D68" s="41" t="s">
        <v>128</v>
      </c>
    </row>
    <row r="69" spans="1:4" ht="22.8">
      <c r="A69" s="30">
        <f t="shared" si="0"/>
        <v>75</v>
      </c>
      <c r="B69" s="30">
        <v>4</v>
      </c>
      <c r="C69" s="30" t="s">
        <v>129</v>
      </c>
      <c r="D69" s="41" t="s">
        <v>130</v>
      </c>
    </row>
    <row r="70" spans="1:4">
      <c r="A70" s="30">
        <f t="shared" si="0"/>
        <v>79</v>
      </c>
      <c r="B70" s="30">
        <v>1</v>
      </c>
      <c r="C70" s="30" t="s">
        <v>131</v>
      </c>
      <c r="D70" s="41" t="s">
        <v>132</v>
      </c>
    </row>
    <row r="71" spans="1:4">
      <c r="A71" s="30">
        <f t="shared" si="0"/>
        <v>80</v>
      </c>
      <c r="B71" s="53" t="s">
        <v>486</v>
      </c>
    </row>
  </sheetData>
  <mergeCells count="5">
    <mergeCell ref="A2:E2"/>
    <mergeCell ref="A4:E4"/>
    <mergeCell ref="D18:D19"/>
    <mergeCell ref="D46:D47"/>
    <mergeCell ref="A6:E10"/>
  </mergeCells>
  <pageMargins left="0.69861111111111096" right="0.69861111111111096" top="0.75" bottom="0.75" header="0.3" footer="0.3"/>
  <headerFooter scaleWithDoc="0"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48"/>
  <sheetViews>
    <sheetView topLeftCell="A57" workbookViewId="0">
      <selection activeCell="D54" sqref="D54:D55"/>
    </sheetView>
  </sheetViews>
  <sheetFormatPr defaultColWidth="9.109375" defaultRowHeight="13.2"/>
  <cols>
    <col min="1" max="1" width="24.5546875" style="30" customWidth="1"/>
    <col min="2" max="2" width="17.6640625" style="30" customWidth="1"/>
    <col min="3" max="3" width="26" style="30" customWidth="1"/>
    <col min="4" max="4" width="29.21875" style="32" customWidth="1"/>
    <col min="5" max="5" width="31.21875" style="33" customWidth="1"/>
  </cols>
  <sheetData>
    <row r="1" spans="1:5" ht="15">
      <c r="A1" s="34"/>
      <c r="B1" s="34"/>
    </row>
    <row r="2" spans="1:5" ht="15">
      <c r="A2" s="556" t="s">
        <v>487</v>
      </c>
      <c r="B2" s="556"/>
      <c r="C2" s="556"/>
      <c r="D2" s="556"/>
      <c r="E2" s="556"/>
    </row>
    <row r="4" spans="1:5" ht="15">
      <c r="A4" s="556" t="s">
        <v>488</v>
      </c>
      <c r="B4" s="556"/>
      <c r="C4" s="556"/>
      <c r="D4" s="556"/>
      <c r="E4" s="556"/>
    </row>
    <row r="6" spans="1:5" ht="15">
      <c r="A6" s="37" t="s">
        <v>110</v>
      </c>
      <c r="B6" s="37" t="s">
        <v>111</v>
      </c>
      <c r="C6" s="38" t="s">
        <v>112</v>
      </c>
      <c r="D6" s="63" t="s">
        <v>113</v>
      </c>
      <c r="E6" s="34"/>
    </row>
    <row r="7" spans="1:5">
      <c r="A7" s="30">
        <v>0</v>
      </c>
      <c r="B7" s="30">
        <v>1</v>
      </c>
      <c r="C7" s="30" t="s">
        <v>114</v>
      </c>
      <c r="D7" s="32" t="s">
        <v>115</v>
      </c>
    </row>
    <row r="8" spans="1:5" ht="22.8">
      <c r="A8" s="30">
        <f t="shared" ref="A8:A17" si="0">A7+B7</f>
        <v>1</v>
      </c>
      <c r="B8" s="30">
        <v>1</v>
      </c>
      <c r="C8" s="30" t="s">
        <v>116</v>
      </c>
      <c r="D8" s="32" t="s">
        <v>117</v>
      </c>
    </row>
    <row r="9" spans="1:5">
      <c r="A9" s="30">
        <f t="shared" si="0"/>
        <v>2</v>
      </c>
      <c r="B9" s="30">
        <v>1</v>
      </c>
      <c r="C9" s="30" t="s">
        <v>118</v>
      </c>
      <c r="D9" s="32" t="s">
        <v>119</v>
      </c>
    </row>
    <row r="10" spans="1:5" ht="39.6">
      <c r="A10" s="30">
        <f t="shared" si="0"/>
        <v>3</v>
      </c>
      <c r="B10" s="30">
        <v>2</v>
      </c>
      <c r="C10" s="40" t="s">
        <v>120</v>
      </c>
      <c r="D10" s="32" t="str">
        <f>DEC2HEX(A17-5)</f>
        <v>C</v>
      </c>
      <c r="E10" s="41"/>
    </row>
    <row r="11" spans="1:5" ht="22.8">
      <c r="A11" s="30">
        <f t="shared" si="0"/>
        <v>5</v>
      </c>
      <c r="B11" s="30">
        <v>2</v>
      </c>
      <c r="C11" s="40" t="s">
        <v>121</v>
      </c>
      <c r="D11" s="32" t="s">
        <v>122</v>
      </c>
    </row>
    <row r="12" spans="1:5" ht="22.8">
      <c r="A12" s="30">
        <f t="shared" si="0"/>
        <v>7</v>
      </c>
      <c r="B12" s="30">
        <v>2</v>
      </c>
      <c r="C12" s="40" t="s">
        <v>123</v>
      </c>
      <c r="D12" s="32" t="s">
        <v>124</v>
      </c>
    </row>
    <row r="13" spans="1:5">
      <c r="A13" s="30">
        <f t="shared" si="0"/>
        <v>9</v>
      </c>
      <c r="B13" s="30">
        <v>1</v>
      </c>
      <c r="C13" s="40" t="s">
        <v>125</v>
      </c>
      <c r="D13" s="32" t="s">
        <v>489</v>
      </c>
    </row>
    <row r="14" spans="1:5" ht="22.8">
      <c r="A14" s="30">
        <f t="shared" si="0"/>
        <v>10</v>
      </c>
      <c r="B14" s="30">
        <v>2</v>
      </c>
      <c r="C14" s="30" t="s">
        <v>127</v>
      </c>
      <c r="D14" s="32" t="s">
        <v>128</v>
      </c>
    </row>
    <row r="15" spans="1:5" ht="34.200000000000003">
      <c r="A15" s="30">
        <f t="shared" si="0"/>
        <v>12</v>
      </c>
      <c r="B15" s="30">
        <v>4</v>
      </c>
      <c r="C15" s="30" t="s">
        <v>129</v>
      </c>
      <c r="D15" s="32" t="s">
        <v>130</v>
      </c>
    </row>
    <row r="16" spans="1:5">
      <c r="A16" s="30">
        <f t="shared" si="0"/>
        <v>16</v>
      </c>
      <c r="B16" s="30">
        <v>1</v>
      </c>
      <c r="C16" s="30" t="s">
        <v>131</v>
      </c>
      <c r="D16" s="32" t="s">
        <v>132</v>
      </c>
    </row>
    <row r="17" spans="1:5">
      <c r="A17" s="30">
        <f t="shared" si="0"/>
        <v>17</v>
      </c>
      <c r="C17" s="40"/>
    </row>
    <row r="18" spans="1:5">
      <c r="C18" s="40"/>
    </row>
    <row r="19" spans="1:5" ht="15">
      <c r="A19" s="34"/>
      <c r="B19" s="34"/>
      <c r="C19" s="40"/>
    </row>
    <row r="20" spans="1:5" ht="15">
      <c r="A20" s="556" t="s">
        <v>490</v>
      </c>
      <c r="B20" s="556"/>
      <c r="C20" s="556"/>
      <c r="D20" s="556"/>
      <c r="E20" s="556"/>
    </row>
    <row r="21" spans="1:5" ht="15">
      <c r="A21" s="35"/>
      <c r="B21" s="35"/>
      <c r="C21" s="35"/>
      <c r="D21" s="138"/>
    </row>
    <row r="22" spans="1:5" ht="15">
      <c r="A22" s="556" t="s">
        <v>1377</v>
      </c>
      <c r="B22" s="556"/>
      <c r="C22" s="556"/>
      <c r="D22" s="556"/>
      <c r="E22" s="556"/>
    </row>
    <row r="24" spans="1:5" ht="15">
      <c r="A24" s="37" t="s">
        <v>110</v>
      </c>
      <c r="B24" s="37" t="s">
        <v>111</v>
      </c>
      <c r="C24" s="38" t="s">
        <v>112</v>
      </c>
      <c r="D24" s="63" t="s">
        <v>113</v>
      </c>
      <c r="E24" s="34"/>
    </row>
    <row r="25" spans="1:5">
      <c r="A25" s="40">
        <v>0</v>
      </c>
      <c r="B25" s="40">
        <v>1</v>
      </c>
      <c r="C25" s="40" t="s">
        <v>135</v>
      </c>
      <c r="D25" s="32" t="s">
        <v>115</v>
      </c>
    </row>
    <row r="26" spans="1:5">
      <c r="A26" s="40">
        <f t="shared" ref="A26:A89" si="1">A25+B25</f>
        <v>1</v>
      </c>
      <c r="B26" s="40">
        <v>1</v>
      </c>
      <c r="C26" s="40" t="s">
        <v>136</v>
      </c>
      <c r="D26" s="32" t="s">
        <v>137</v>
      </c>
    </row>
    <row r="27" spans="1:5">
      <c r="A27" s="40">
        <f t="shared" si="1"/>
        <v>2</v>
      </c>
      <c r="B27" s="40">
        <v>1</v>
      </c>
      <c r="C27" s="40" t="s">
        <v>1378</v>
      </c>
      <c r="D27" s="32" t="s">
        <v>139</v>
      </c>
    </row>
    <row r="28" spans="1:5" ht="39.6">
      <c r="A28" s="40">
        <f t="shared" si="1"/>
        <v>3</v>
      </c>
      <c r="B28" s="40">
        <v>3</v>
      </c>
      <c r="C28" s="40" t="s">
        <v>120</v>
      </c>
      <c r="D28" s="116" t="str">
        <f>DEC2HEX(A148-5)</f>
        <v>706</v>
      </c>
      <c r="E28" s="41"/>
    </row>
    <row r="29" spans="1:5">
      <c r="A29" s="40">
        <f t="shared" si="1"/>
        <v>6</v>
      </c>
      <c r="B29" s="40"/>
      <c r="C29" s="139" t="s">
        <v>258</v>
      </c>
      <c r="D29" s="140"/>
      <c r="E29" s="141"/>
    </row>
    <row r="30" spans="1:5" ht="285">
      <c r="A30" s="40">
        <f t="shared" si="1"/>
        <v>6</v>
      </c>
      <c r="B30" s="30">
        <v>1</v>
      </c>
      <c r="C30" s="40" t="s">
        <v>493</v>
      </c>
      <c r="D30" s="49" t="s">
        <v>1379</v>
      </c>
      <c r="E30" s="127" t="s">
        <v>494</v>
      </c>
    </row>
    <row r="31" spans="1:5" ht="102.6">
      <c r="A31" s="40">
        <f t="shared" si="1"/>
        <v>7</v>
      </c>
      <c r="B31" s="40" t="s">
        <v>151</v>
      </c>
      <c r="C31" s="40" t="s">
        <v>281</v>
      </c>
      <c r="D31" s="142" t="s">
        <v>1380</v>
      </c>
    </row>
    <row r="32" spans="1:5">
      <c r="A32" s="40">
        <f t="shared" si="1"/>
        <v>11</v>
      </c>
      <c r="C32" s="139" t="s">
        <v>294</v>
      </c>
    </row>
    <row r="33" spans="1:5" ht="285">
      <c r="A33" s="40">
        <f t="shared" si="1"/>
        <v>11</v>
      </c>
      <c r="B33" s="30" t="s">
        <v>163</v>
      </c>
      <c r="C33" s="40" t="s">
        <v>493</v>
      </c>
      <c r="D33" s="49" t="s">
        <v>1381</v>
      </c>
      <c r="E33" s="127" t="s">
        <v>494</v>
      </c>
    </row>
    <row r="34" spans="1:5" ht="102.6">
      <c r="A34" s="40">
        <f t="shared" si="1"/>
        <v>12</v>
      </c>
      <c r="B34" s="40" t="s">
        <v>151</v>
      </c>
      <c r="C34" s="40" t="s">
        <v>281</v>
      </c>
      <c r="D34" s="142" t="s">
        <v>964</v>
      </c>
    </row>
    <row r="35" spans="1:5">
      <c r="A35" s="40">
        <f t="shared" si="1"/>
        <v>16</v>
      </c>
      <c r="C35" s="139" t="s">
        <v>297</v>
      </c>
    </row>
    <row r="36" spans="1:5" ht="285">
      <c r="A36" s="40">
        <f t="shared" si="1"/>
        <v>16</v>
      </c>
      <c r="B36" s="30" t="s">
        <v>163</v>
      </c>
      <c r="C36" s="40" t="s">
        <v>493</v>
      </c>
      <c r="D36" s="49" t="s">
        <v>1382</v>
      </c>
      <c r="E36" s="127" t="s">
        <v>494</v>
      </c>
    </row>
    <row r="37" spans="1:5" ht="102.6">
      <c r="A37" s="40">
        <f t="shared" si="1"/>
        <v>17</v>
      </c>
      <c r="B37" s="40" t="s">
        <v>151</v>
      </c>
      <c r="C37" s="40" t="s">
        <v>281</v>
      </c>
      <c r="D37" s="142" t="s">
        <v>1383</v>
      </c>
    </row>
    <row r="38" spans="1:5">
      <c r="A38" s="40">
        <f t="shared" si="1"/>
        <v>21</v>
      </c>
      <c r="C38" s="139" t="s">
        <v>218</v>
      </c>
    </row>
    <row r="39" spans="1:5">
      <c r="A39" s="40">
        <f t="shared" si="1"/>
        <v>21</v>
      </c>
      <c r="B39" s="30" t="s">
        <v>163</v>
      </c>
      <c r="C39" s="30" t="s">
        <v>499</v>
      </c>
      <c r="D39" s="559" t="s">
        <v>966</v>
      </c>
    </row>
    <row r="40" spans="1:5">
      <c r="A40" s="40">
        <f t="shared" si="1"/>
        <v>22</v>
      </c>
      <c r="B40" s="30" t="s">
        <v>163</v>
      </c>
      <c r="C40" s="30" t="s">
        <v>500</v>
      </c>
      <c r="D40" s="559"/>
    </row>
    <row r="41" spans="1:5">
      <c r="A41" s="40">
        <f t="shared" si="1"/>
        <v>23</v>
      </c>
      <c r="C41" s="139" t="s">
        <v>245</v>
      </c>
    </row>
    <row r="42" spans="1:5">
      <c r="A42" s="40">
        <f t="shared" si="1"/>
        <v>23</v>
      </c>
      <c r="B42" s="30" t="s">
        <v>163</v>
      </c>
      <c r="C42" s="30" t="s">
        <v>499</v>
      </c>
      <c r="D42" s="559" t="s">
        <v>966</v>
      </c>
    </row>
    <row r="43" spans="1:5">
      <c r="A43" s="40">
        <f t="shared" si="1"/>
        <v>24</v>
      </c>
      <c r="B43" s="30" t="s">
        <v>163</v>
      </c>
      <c r="C43" s="30" t="s">
        <v>500</v>
      </c>
      <c r="D43" s="559"/>
    </row>
    <row r="44" spans="1:5">
      <c r="A44" s="40">
        <f t="shared" si="1"/>
        <v>25</v>
      </c>
      <c r="C44" s="139" t="s">
        <v>246</v>
      </c>
    </row>
    <row r="45" spans="1:5">
      <c r="A45" s="40">
        <f t="shared" si="1"/>
        <v>25</v>
      </c>
      <c r="B45" s="30" t="s">
        <v>163</v>
      </c>
      <c r="C45" s="30" t="s">
        <v>499</v>
      </c>
      <c r="D45" s="559" t="s">
        <v>966</v>
      </c>
    </row>
    <row r="46" spans="1:5">
      <c r="A46" s="40">
        <f t="shared" si="1"/>
        <v>26</v>
      </c>
      <c r="B46" s="30" t="s">
        <v>163</v>
      </c>
      <c r="C46" s="30" t="s">
        <v>500</v>
      </c>
      <c r="D46" s="559"/>
    </row>
    <row r="47" spans="1:5">
      <c r="A47" s="40">
        <f t="shared" si="1"/>
        <v>27</v>
      </c>
      <c r="C47" s="139" t="s">
        <v>142</v>
      </c>
    </row>
    <row r="48" spans="1:5" ht="22.8">
      <c r="A48" s="40">
        <f t="shared" si="1"/>
        <v>27</v>
      </c>
      <c r="B48" s="30" t="s">
        <v>145</v>
      </c>
      <c r="C48" s="30" t="s">
        <v>146</v>
      </c>
      <c r="D48" s="32" t="s">
        <v>617</v>
      </c>
    </row>
    <row r="49" spans="1:5" ht="22.8">
      <c r="A49" s="40">
        <f t="shared" si="1"/>
        <v>29</v>
      </c>
      <c r="B49" s="30" t="s">
        <v>148</v>
      </c>
      <c r="C49" s="30" t="s">
        <v>502</v>
      </c>
      <c r="D49" s="32" t="s">
        <v>1384</v>
      </c>
    </row>
    <row r="50" spans="1:5" ht="34.200000000000003">
      <c r="A50" s="40">
        <f t="shared" si="1"/>
        <v>32</v>
      </c>
      <c r="B50" s="30" t="s">
        <v>151</v>
      </c>
      <c r="C50" s="30" t="s">
        <v>503</v>
      </c>
      <c r="D50" s="32" t="s">
        <v>930</v>
      </c>
    </row>
    <row r="51" spans="1:5" ht="45.6">
      <c r="A51" s="40">
        <f t="shared" si="1"/>
        <v>36</v>
      </c>
      <c r="B51" s="30" t="s">
        <v>148</v>
      </c>
      <c r="C51" s="30" t="s">
        <v>154</v>
      </c>
      <c r="D51" s="32" t="s">
        <v>1385</v>
      </c>
    </row>
    <row r="52" spans="1:5" ht="45.6">
      <c r="A52" s="40">
        <f t="shared" si="1"/>
        <v>39</v>
      </c>
      <c r="B52" s="30" t="s">
        <v>163</v>
      </c>
      <c r="C52" s="30" t="s">
        <v>164</v>
      </c>
      <c r="D52" s="92" t="s">
        <v>1386</v>
      </c>
    </row>
    <row r="53" spans="1:5">
      <c r="A53" s="40">
        <f t="shared" si="1"/>
        <v>40</v>
      </c>
      <c r="C53" s="139" t="s">
        <v>183</v>
      </c>
      <c r="D53" s="92"/>
    </row>
    <row r="54" spans="1:5">
      <c r="A54" s="40">
        <f t="shared" si="1"/>
        <v>40</v>
      </c>
      <c r="B54" s="30">
        <v>2</v>
      </c>
      <c r="C54" s="40" t="s">
        <v>282</v>
      </c>
      <c r="D54" s="560" t="s">
        <v>965</v>
      </c>
    </row>
    <row r="55" spans="1:5">
      <c r="A55" s="40">
        <f t="shared" si="1"/>
        <v>42</v>
      </c>
      <c r="B55" s="40" t="s">
        <v>145</v>
      </c>
      <c r="C55" s="30" t="s">
        <v>284</v>
      </c>
      <c r="D55" s="560"/>
    </row>
    <row r="56" spans="1:5">
      <c r="A56" s="40">
        <f t="shared" si="1"/>
        <v>44</v>
      </c>
      <c r="C56" s="139" t="s">
        <v>210</v>
      </c>
    </row>
    <row r="57" spans="1:5">
      <c r="A57" s="40">
        <f t="shared" si="1"/>
        <v>44</v>
      </c>
      <c r="B57" s="30">
        <v>2</v>
      </c>
      <c r="C57" s="40" t="s">
        <v>282</v>
      </c>
      <c r="D57" s="560" t="s">
        <v>965</v>
      </c>
    </row>
    <row r="58" spans="1:5">
      <c r="A58" s="40">
        <f t="shared" si="1"/>
        <v>46</v>
      </c>
      <c r="B58" s="40" t="s">
        <v>145</v>
      </c>
      <c r="C58" s="30" t="s">
        <v>284</v>
      </c>
      <c r="D58" s="560"/>
    </row>
    <row r="59" spans="1:5">
      <c r="A59" s="40">
        <f t="shared" si="1"/>
        <v>48</v>
      </c>
      <c r="C59" s="53" t="s">
        <v>215</v>
      </c>
    </row>
    <row r="60" spans="1:5">
      <c r="A60" s="40">
        <f t="shared" si="1"/>
        <v>48</v>
      </c>
      <c r="B60" s="30">
        <v>2</v>
      </c>
      <c r="C60" s="40" t="s">
        <v>282</v>
      </c>
      <c r="D60" s="560" t="s">
        <v>965</v>
      </c>
    </row>
    <row r="61" spans="1:5">
      <c r="A61" s="40">
        <f t="shared" si="1"/>
        <v>50</v>
      </c>
      <c r="B61" s="40" t="s">
        <v>145</v>
      </c>
      <c r="C61" s="30" t="s">
        <v>284</v>
      </c>
      <c r="D61" s="560"/>
    </row>
    <row r="62" spans="1:5">
      <c r="A62" s="40">
        <f t="shared" si="1"/>
        <v>52</v>
      </c>
      <c r="B62" s="42">
        <v>5</v>
      </c>
      <c r="C62" s="132" t="s">
        <v>510</v>
      </c>
      <c r="D62" s="42" t="s">
        <v>347</v>
      </c>
      <c r="E62" s="44"/>
    </row>
    <row r="63" spans="1:5">
      <c r="A63" s="40">
        <f t="shared" si="1"/>
        <v>57</v>
      </c>
      <c r="C63" s="53" t="s">
        <v>366</v>
      </c>
    </row>
    <row r="64" spans="1:5" ht="45.6">
      <c r="A64" s="40">
        <f t="shared" si="1"/>
        <v>57</v>
      </c>
      <c r="B64" s="40" t="s">
        <v>163</v>
      </c>
      <c r="C64" s="40" t="s">
        <v>367</v>
      </c>
      <c r="D64" s="32" t="s">
        <v>730</v>
      </c>
      <c r="E64" s="33">
        <v>0</v>
      </c>
    </row>
    <row r="65" spans="1:5" ht="22.8">
      <c r="A65" s="40">
        <f t="shared" si="1"/>
        <v>58</v>
      </c>
      <c r="B65" s="40" t="s">
        <v>163</v>
      </c>
      <c r="C65" s="40" t="s">
        <v>369</v>
      </c>
      <c r="D65" s="32" t="s">
        <v>966</v>
      </c>
      <c r="E65" s="33">
        <f t="shared" ref="E65:E68" si="2">B64+E64</f>
        <v>1</v>
      </c>
    </row>
    <row r="66" spans="1:5" ht="22.8">
      <c r="A66" s="40">
        <f t="shared" si="1"/>
        <v>59</v>
      </c>
      <c r="B66" s="40" t="s">
        <v>145</v>
      </c>
      <c r="C66" s="40" t="s">
        <v>370</v>
      </c>
      <c r="D66" s="32" t="s">
        <v>1012</v>
      </c>
      <c r="E66" s="33">
        <f t="shared" si="2"/>
        <v>2</v>
      </c>
    </row>
    <row r="67" spans="1:5" ht="102.6">
      <c r="A67" s="40">
        <f t="shared" si="1"/>
        <v>61</v>
      </c>
      <c r="B67" s="40" t="s">
        <v>151</v>
      </c>
      <c r="C67" s="40" t="s">
        <v>377</v>
      </c>
      <c r="D67" s="142" t="s">
        <v>964</v>
      </c>
      <c r="E67" s="33">
        <f t="shared" si="2"/>
        <v>4</v>
      </c>
    </row>
    <row r="68" spans="1:5" ht="182.4">
      <c r="A68" s="40">
        <f t="shared" si="1"/>
        <v>65</v>
      </c>
      <c r="B68" s="40" t="s">
        <v>163</v>
      </c>
      <c r="C68" s="40" t="s">
        <v>380</v>
      </c>
      <c r="D68" s="142" t="s">
        <v>1387</v>
      </c>
      <c r="E68" s="33">
        <f t="shared" si="2"/>
        <v>8</v>
      </c>
    </row>
    <row r="69" spans="1:5" ht="118.8">
      <c r="A69" s="40">
        <f t="shared" si="1"/>
        <v>66</v>
      </c>
      <c r="B69" s="40" t="s">
        <v>163</v>
      </c>
      <c r="C69" s="40" t="s">
        <v>383</v>
      </c>
      <c r="D69" s="46" t="s">
        <v>384</v>
      </c>
      <c r="E69" s="33">
        <f t="shared" ref="E69:E80" si="3">B68+E68</f>
        <v>9</v>
      </c>
    </row>
    <row r="70" spans="1:5" ht="68.400000000000006">
      <c r="A70" s="40">
        <f t="shared" si="1"/>
        <v>67</v>
      </c>
      <c r="B70" s="30" t="s">
        <v>163</v>
      </c>
      <c r="C70" s="40" t="s">
        <v>515</v>
      </c>
      <c r="D70" s="32" t="s">
        <v>739</v>
      </c>
      <c r="E70" s="33">
        <f t="shared" si="3"/>
        <v>10</v>
      </c>
    </row>
    <row r="71" spans="1:5" ht="22.8">
      <c r="A71" s="40">
        <f t="shared" si="1"/>
        <v>68</v>
      </c>
      <c r="B71" s="30" t="s">
        <v>145</v>
      </c>
      <c r="C71" s="40" t="s">
        <v>392</v>
      </c>
      <c r="D71" s="32" t="s">
        <v>733</v>
      </c>
      <c r="E71" s="33">
        <f t="shared" si="3"/>
        <v>11</v>
      </c>
    </row>
    <row r="72" spans="1:5" ht="68.400000000000006">
      <c r="A72" s="40">
        <f t="shared" si="1"/>
        <v>70</v>
      </c>
      <c r="B72" s="30" t="s">
        <v>163</v>
      </c>
      <c r="C72" s="30" t="s">
        <v>395</v>
      </c>
      <c r="D72" s="32" t="s">
        <v>1388</v>
      </c>
      <c r="E72" s="33">
        <f t="shared" si="3"/>
        <v>13</v>
      </c>
    </row>
    <row r="73" spans="1:5" ht="26.4">
      <c r="A73" s="40">
        <f t="shared" si="1"/>
        <v>71</v>
      </c>
      <c r="B73" s="42">
        <v>1</v>
      </c>
      <c r="C73" s="132" t="s">
        <v>407</v>
      </c>
      <c r="D73" s="137" t="s">
        <v>753</v>
      </c>
      <c r="E73" s="33">
        <f t="shared" si="3"/>
        <v>14</v>
      </c>
    </row>
    <row r="74" spans="1:5" ht="26.4">
      <c r="A74" s="40">
        <f t="shared" si="1"/>
        <v>72</v>
      </c>
      <c r="B74" s="42">
        <v>1</v>
      </c>
      <c r="C74" s="132" t="s">
        <v>409</v>
      </c>
      <c r="D74" s="137" t="s">
        <v>753</v>
      </c>
      <c r="E74" s="33">
        <f t="shared" si="3"/>
        <v>15</v>
      </c>
    </row>
    <row r="75" spans="1:5" ht="26.4">
      <c r="A75" s="40">
        <f t="shared" si="1"/>
        <v>73</v>
      </c>
      <c r="B75" s="42">
        <v>1</v>
      </c>
      <c r="C75" s="132" t="s">
        <v>410</v>
      </c>
      <c r="D75" s="137" t="s">
        <v>753</v>
      </c>
      <c r="E75" s="33">
        <f t="shared" si="3"/>
        <v>16</v>
      </c>
    </row>
    <row r="76" spans="1:5" ht="26.4">
      <c r="A76" s="40">
        <f t="shared" si="1"/>
        <v>74</v>
      </c>
      <c r="B76" s="42">
        <v>1</v>
      </c>
      <c r="C76" s="132" t="s">
        <v>411</v>
      </c>
      <c r="D76" s="137" t="s">
        <v>753</v>
      </c>
      <c r="E76" s="33">
        <f t="shared" si="3"/>
        <v>17</v>
      </c>
    </row>
    <row r="77" spans="1:5" ht="26.4">
      <c r="A77" s="40">
        <f t="shared" si="1"/>
        <v>75</v>
      </c>
      <c r="B77" s="42">
        <v>4</v>
      </c>
      <c r="C77" s="132" t="s">
        <v>412</v>
      </c>
      <c r="D77" s="60" t="s">
        <v>758</v>
      </c>
      <c r="E77" s="33">
        <f t="shared" si="3"/>
        <v>18</v>
      </c>
    </row>
    <row r="78" spans="1:5" ht="26.4">
      <c r="A78" s="40">
        <f t="shared" si="1"/>
        <v>79</v>
      </c>
      <c r="B78" s="42">
        <v>4</v>
      </c>
      <c r="C78" s="132" t="s">
        <v>414</v>
      </c>
      <c r="D78" s="60" t="s">
        <v>758</v>
      </c>
      <c r="E78" s="33">
        <f t="shared" si="3"/>
        <v>22</v>
      </c>
    </row>
    <row r="79" spans="1:5" ht="26.4">
      <c r="A79" s="40">
        <f t="shared" si="1"/>
        <v>83</v>
      </c>
      <c r="B79" s="42">
        <v>1</v>
      </c>
      <c r="C79" s="132" t="s">
        <v>415</v>
      </c>
      <c r="D79" s="60" t="s">
        <v>742</v>
      </c>
      <c r="E79" s="33">
        <f t="shared" si="3"/>
        <v>26</v>
      </c>
    </row>
    <row r="80" spans="1:5">
      <c r="A80" s="40">
        <f t="shared" si="1"/>
        <v>84</v>
      </c>
      <c r="B80" s="42">
        <v>1</v>
      </c>
      <c r="C80" s="132" t="s">
        <v>419</v>
      </c>
      <c r="D80" s="42" t="s">
        <v>347</v>
      </c>
      <c r="E80" s="33">
        <f t="shared" si="3"/>
        <v>27</v>
      </c>
    </row>
    <row r="81" spans="1:4">
      <c r="A81" s="40">
        <f t="shared" si="1"/>
        <v>85</v>
      </c>
      <c r="B81" s="40"/>
    </row>
    <row r="82" spans="1:4">
      <c r="A82" s="40">
        <f t="shared" si="1"/>
        <v>85</v>
      </c>
      <c r="B82" s="40">
        <v>28</v>
      </c>
      <c r="C82" s="33" t="s">
        <v>420</v>
      </c>
      <c r="D82" s="561" t="s">
        <v>519</v>
      </c>
    </row>
    <row r="83" spans="1:4">
      <c r="A83" s="40">
        <f t="shared" si="1"/>
        <v>113</v>
      </c>
      <c r="B83" s="40">
        <v>28</v>
      </c>
      <c r="C83" s="33" t="s">
        <v>422</v>
      </c>
      <c r="D83" s="562"/>
    </row>
    <row r="84" spans="1:4">
      <c r="A84" s="40">
        <f t="shared" si="1"/>
        <v>141</v>
      </c>
      <c r="B84" s="40">
        <v>28</v>
      </c>
      <c r="C84" s="33" t="s">
        <v>423</v>
      </c>
      <c r="D84" s="562"/>
    </row>
    <row r="85" spans="1:4">
      <c r="A85" s="40">
        <f t="shared" si="1"/>
        <v>169</v>
      </c>
      <c r="B85" s="40">
        <v>28</v>
      </c>
      <c r="C85" s="33" t="s">
        <v>424</v>
      </c>
      <c r="D85" s="562"/>
    </row>
    <row r="86" spans="1:4">
      <c r="A86" s="40">
        <f t="shared" si="1"/>
        <v>197</v>
      </c>
      <c r="B86" s="40">
        <v>28</v>
      </c>
      <c r="C86" s="33" t="s">
        <v>425</v>
      </c>
      <c r="D86" s="562"/>
    </row>
    <row r="87" spans="1:4">
      <c r="A87" s="40">
        <f t="shared" si="1"/>
        <v>225</v>
      </c>
      <c r="B87" s="40">
        <v>28</v>
      </c>
      <c r="C87" s="33" t="s">
        <v>426</v>
      </c>
      <c r="D87" s="562"/>
    </row>
    <row r="88" spans="1:4">
      <c r="A88" s="40">
        <f t="shared" si="1"/>
        <v>253</v>
      </c>
      <c r="B88" s="40">
        <v>28</v>
      </c>
      <c r="C88" s="33" t="s">
        <v>427</v>
      </c>
      <c r="D88" s="562"/>
    </row>
    <row r="89" spans="1:4">
      <c r="A89" s="40">
        <f t="shared" si="1"/>
        <v>281</v>
      </c>
      <c r="B89" s="40">
        <v>28</v>
      </c>
      <c r="C89" s="33" t="s">
        <v>428</v>
      </c>
      <c r="D89" s="562"/>
    </row>
    <row r="90" spans="1:4">
      <c r="A90" s="40">
        <f t="shared" ref="A90:A148" si="4">A89+B89</f>
        <v>309</v>
      </c>
      <c r="B90" s="40">
        <v>28</v>
      </c>
      <c r="C90" s="33" t="s">
        <v>429</v>
      </c>
      <c r="D90" s="562"/>
    </row>
    <row r="91" spans="1:4">
      <c r="A91" s="40">
        <f t="shared" si="4"/>
        <v>337</v>
      </c>
      <c r="B91" s="40">
        <v>28</v>
      </c>
      <c r="C91" s="33" t="s">
        <v>430</v>
      </c>
      <c r="D91" s="562"/>
    </row>
    <row r="92" spans="1:4">
      <c r="A92" s="40">
        <f t="shared" si="4"/>
        <v>365</v>
      </c>
      <c r="B92" s="40">
        <v>28</v>
      </c>
      <c r="C92" s="33" t="s">
        <v>431</v>
      </c>
      <c r="D92" s="562"/>
    </row>
    <row r="93" spans="1:4">
      <c r="A93" s="40">
        <f t="shared" si="4"/>
        <v>393</v>
      </c>
      <c r="B93" s="40">
        <v>28</v>
      </c>
      <c r="C93" s="33" t="s">
        <v>432</v>
      </c>
      <c r="D93" s="562"/>
    </row>
    <row r="94" spans="1:4">
      <c r="A94" s="40">
        <f t="shared" si="4"/>
        <v>421</v>
      </c>
      <c r="B94" s="40">
        <v>28</v>
      </c>
      <c r="C94" s="33" t="s">
        <v>433</v>
      </c>
      <c r="D94" s="562"/>
    </row>
    <row r="95" spans="1:4">
      <c r="A95" s="40">
        <f t="shared" si="4"/>
        <v>449</v>
      </c>
      <c r="B95" s="40">
        <v>28</v>
      </c>
      <c r="C95" s="33" t="s">
        <v>434</v>
      </c>
      <c r="D95" s="562"/>
    </row>
    <row r="96" spans="1:4">
      <c r="A96" s="40">
        <f t="shared" si="4"/>
        <v>477</v>
      </c>
      <c r="B96" s="40">
        <v>28</v>
      </c>
      <c r="C96" s="33" t="s">
        <v>435</v>
      </c>
      <c r="D96" s="562"/>
    </row>
    <row r="97" spans="1:4">
      <c r="A97" s="40">
        <f t="shared" si="4"/>
        <v>505</v>
      </c>
      <c r="B97" s="40">
        <v>28</v>
      </c>
      <c r="C97" s="33" t="s">
        <v>436</v>
      </c>
      <c r="D97" s="562"/>
    </row>
    <row r="98" spans="1:4">
      <c r="A98" s="40">
        <f t="shared" si="4"/>
        <v>533</v>
      </c>
      <c r="B98" s="40">
        <v>28</v>
      </c>
      <c r="C98" s="33" t="s">
        <v>437</v>
      </c>
      <c r="D98" s="562"/>
    </row>
    <row r="99" spans="1:4">
      <c r="A99" s="40">
        <f t="shared" si="4"/>
        <v>561</v>
      </c>
      <c r="B99" s="40">
        <v>28</v>
      </c>
      <c r="C99" s="33" t="s">
        <v>438</v>
      </c>
      <c r="D99" s="562"/>
    </row>
    <row r="100" spans="1:4">
      <c r="A100" s="40">
        <f t="shared" si="4"/>
        <v>589</v>
      </c>
      <c r="B100" s="40">
        <v>28</v>
      </c>
      <c r="C100" s="33" t="s">
        <v>439</v>
      </c>
      <c r="D100" s="562"/>
    </row>
    <row r="101" spans="1:4">
      <c r="A101" s="40">
        <f t="shared" si="4"/>
        <v>617</v>
      </c>
      <c r="B101" s="40">
        <v>28</v>
      </c>
      <c r="C101" s="33" t="s">
        <v>440</v>
      </c>
      <c r="D101" s="562"/>
    </row>
    <row r="102" spans="1:4">
      <c r="A102" s="40">
        <f t="shared" si="4"/>
        <v>645</v>
      </c>
      <c r="B102" s="40">
        <v>28</v>
      </c>
      <c r="C102" s="33" t="s">
        <v>441</v>
      </c>
      <c r="D102" s="562"/>
    </row>
    <row r="103" spans="1:4">
      <c r="A103" s="40">
        <f t="shared" si="4"/>
        <v>673</v>
      </c>
      <c r="B103" s="40">
        <v>28</v>
      </c>
      <c r="C103" s="33" t="s">
        <v>442</v>
      </c>
      <c r="D103" s="562"/>
    </row>
    <row r="104" spans="1:4">
      <c r="A104" s="40">
        <f t="shared" si="4"/>
        <v>701</v>
      </c>
      <c r="B104" s="40">
        <v>28</v>
      </c>
      <c r="C104" s="33" t="s">
        <v>443</v>
      </c>
      <c r="D104" s="562"/>
    </row>
    <row r="105" spans="1:4">
      <c r="A105" s="40">
        <f t="shared" si="4"/>
        <v>729</v>
      </c>
      <c r="B105" s="40">
        <v>28</v>
      </c>
      <c r="C105" s="33" t="s">
        <v>444</v>
      </c>
      <c r="D105" s="562"/>
    </row>
    <row r="106" spans="1:4">
      <c r="A106" s="40">
        <f t="shared" si="4"/>
        <v>757</v>
      </c>
      <c r="B106" s="40">
        <v>28</v>
      </c>
      <c r="C106" s="33" t="s">
        <v>445</v>
      </c>
      <c r="D106" s="562"/>
    </row>
    <row r="107" spans="1:4">
      <c r="A107" s="40">
        <f t="shared" si="4"/>
        <v>785</v>
      </c>
      <c r="B107" s="40">
        <v>28</v>
      </c>
      <c r="C107" s="33" t="s">
        <v>446</v>
      </c>
      <c r="D107" s="562"/>
    </row>
    <row r="108" spans="1:4">
      <c r="A108" s="40">
        <f t="shared" si="4"/>
        <v>813</v>
      </c>
      <c r="B108" s="40">
        <v>28</v>
      </c>
      <c r="C108" s="33" t="s">
        <v>447</v>
      </c>
      <c r="D108" s="562"/>
    </row>
    <row r="109" spans="1:4">
      <c r="A109" s="40">
        <f t="shared" si="4"/>
        <v>841</v>
      </c>
      <c r="B109" s="40">
        <v>28</v>
      </c>
      <c r="C109" s="33" t="s">
        <v>448</v>
      </c>
      <c r="D109" s="562"/>
    </row>
    <row r="110" spans="1:4">
      <c r="A110" s="40">
        <f t="shared" si="4"/>
        <v>869</v>
      </c>
      <c r="B110" s="40">
        <v>28</v>
      </c>
      <c r="C110" s="33" t="s">
        <v>449</v>
      </c>
      <c r="D110" s="562"/>
    </row>
    <row r="111" spans="1:4">
      <c r="A111" s="40">
        <f t="shared" si="4"/>
        <v>897</v>
      </c>
      <c r="B111" s="40">
        <v>28</v>
      </c>
      <c r="C111" s="33" t="s">
        <v>450</v>
      </c>
      <c r="D111" s="562"/>
    </row>
    <row r="112" spans="1:4">
      <c r="A112" s="40">
        <f t="shared" si="4"/>
        <v>925</v>
      </c>
      <c r="B112" s="40">
        <v>28</v>
      </c>
      <c r="C112" s="33" t="s">
        <v>451</v>
      </c>
      <c r="D112" s="562"/>
    </row>
    <row r="113" spans="1:4">
      <c r="A113" s="40">
        <f t="shared" si="4"/>
        <v>953</v>
      </c>
      <c r="B113" s="40">
        <v>28</v>
      </c>
      <c r="C113" s="33" t="s">
        <v>452</v>
      </c>
      <c r="D113" s="562"/>
    </row>
    <row r="114" spans="1:4">
      <c r="A114" s="40">
        <f t="shared" si="4"/>
        <v>981</v>
      </c>
      <c r="B114" s="40">
        <v>28</v>
      </c>
      <c r="C114" s="33" t="s">
        <v>453</v>
      </c>
      <c r="D114" s="562"/>
    </row>
    <row r="115" spans="1:4">
      <c r="A115" s="40">
        <f t="shared" si="4"/>
        <v>1009</v>
      </c>
      <c r="B115" s="40">
        <v>28</v>
      </c>
      <c r="C115" s="33" t="s">
        <v>454</v>
      </c>
      <c r="D115" s="562"/>
    </row>
    <row r="116" spans="1:4">
      <c r="A116" s="40">
        <f t="shared" si="4"/>
        <v>1037</v>
      </c>
      <c r="B116" s="40">
        <v>28</v>
      </c>
      <c r="C116" s="33" t="s">
        <v>455</v>
      </c>
      <c r="D116" s="562"/>
    </row>
    <row r="117" spans="1:4">
      <c r="A117" s="40">
        <f t="shared" si="4"/>
        <v>1065</v>
      </c>
      <c r="B117" s="40">
        <v>28</v>
      </c>
      <c r="C117" s="33" t="s">
        <v>456</v>
      </c>
      <c r="D117" s="562"/>
    </row>
    <row r="118" spans="1:4">
      <c r="A118" s="40">
        <f t="shared" si="4"/>
        <v>1093</v>
      </c>
      <c r="B118" s="40">
        <v>28</v>
      </c>
      <c r="C118" s="33" t="s">
        <v>457</v>
      </c>
      <c r="D118" s="562"/>
    </row>
    <row r="119" spans="1:4">
      <c r="A119" s="40">
        <f t="shared" si="4"/>
        <v>1121</v>
      </c>
      <c r="B119" s="40">
        <v>28</v>
      </c>
      <c r="C119" s="33" t="s">
        <v>458</v>
      </c>
      <c r="D119" s="562"/>
    </row>
    <row r="120" spans="1:4">
      <c r="A120" s="40">
        <f t="shared" si="4"/>
        <v>1149</v>
      </c>
      <c r="B120" s="40">
        <v>28</v>
      </c>
      <c r="C120" s="33" t="s">
        <v>459</v>
      </c>
      <c r="D120" s="562"/>
    </row>
    <row r="121" spans="1:4">
      <c r="A121" s="40">
        <f t="shared" si="4"/>
        <v>1177</v>
      </c>
      <c r="B121" s="40">
        <v>28</v>
      </c>
      <c r="C121" s="33" t="s">
        <v>460</v>
      </c>
      <c r="D121" s="562"/>
    </row>
    <row r="122" spans="1:4">
      <c r="A122" s="40">
        <f t="shared" si="4"/>
        <v>1205</v>
      </c>
      <c r="B122" s="40">
        <v>28</v>
      </c>
      <c r="C122" s="33" t="s">
        <v>461</v>
      </c>
      <c r="D122" s="562"/>
    </row>
    <row r="123" spans="1:4">
      <c r="A123" s="40">
        <f t="shared" si="4"/>
        <v>1233</v>
      </c>
      <c r="B123" s="40">
        <v>28</v>
      </c>
      <c r="C123" s="33" t="s">
        <v>462</v>
      </c>
      <c r="D123" s="562"/>
    </row>
    <row r="124" spans="1:4">
      <c r="A124" s="40">
        <f t="shared" si="4"/>
        <v>1261</v>
      </c>
      <c r="B124" s="40">
        <v>28</v>
      </c>
      <c r="C124" s="33" t="s">
        <v>463</v>
      </c>
      <c r="D124" s="562"/>
    </row>
    <row r="125" spans="1:4">
      <c r="A125" s="40">
        <f t="shared" si="4"/>
        <v>1289</v>
      </c>
      <c r="B125" s="40">
        <v>28</v>
      </c>
      <c r="C125" s="33" t="s">
        <v>464</v>
      </c>
      <c r="D125" s="562"/>
    </row>
    <row r="126" spans="1:4">
      <c r="A126" s="40">
        <f t="shared" si="4"/>
        <v>1317</v>
      </c>
      <c r="B126" s="40">
        <v>28</v>
      </c>
      <c r="C126" s="33" t="s">
        <v>465</v>
      </c>
      <c r="D126" s="562"/>
    </row>
    <row r="127" spans="1:4">
      <c r="A127" s="40">
        <f t="shared" si="4"/>
        <v>1345</v>
      </c>
      <c r="B127" s="40">
        <v>28</v>
      </c>
      <c r="C127" s="33" t="s">
        <v>466</v>
      </c>
      <c r="D127" s="562"/>
    </row>
    <row r="128" spans="1:4">
      <c r="A128" s="40">
        <f t="shared" si="4"/>
        <v>1373</v>
      </c>
      <c r="B128" s="40">
        <v>28</v>
      </c>
      <c r="C128" s="33" t="s">
        <v>467</v>
      </c>
      <c r="D128" s="562"/>
    </row>
    <row r="129" spans="1:4">
      <c r="A129" s="40">
        <f t="shared" si="4"/>
        <v>1401</v>
      </c>
      <c r="B129" s="40">
        <v>28</v>
      </c>
      <c r="C129" s="33" t="s">
        <v>468</v>
      </c>
      <c r="D129" s="562"/>
    </row>
    <row r="130" spans="1:4">
      <c r="A130" s="40">
        <f t="shared" si="4"/>
        <v>1429</v>
      </c>
      <c r="B130" s="40">
        <v>28</v>
      </c>
      <c r="C130" s="33" t="s">
        <v>469</v>
      </c>
      <c r="D130" s="562"/>
    </row>
    <row r="131" spans="1:4">
      <c r="A131" s="40">
        <f t="shared" si="4"/>
        <v>1457</v>
      </c>
      <c r="B131" s="40">
        <v>28</v>
      </c>
      <c r="C131" s="33" t="s">
        <v>470</v>
      </c>
      <c r="D131" s="562"/>
    </row>
    <row r="132" spans="1:4">
      <c r="A132" s="40">
        <f t="shared" si="4"/>
        <v>1485</v>
      </c>
      <c r="B132" s="40">
        <v>28</v>
      </c>
      <c r="C132" s="33" t="s">
        <v>471</v>
      </c>
      <c r="D132" s="562"/>
    </row>
    <row r="133" spans="1:4">
      <c r="A133" s="40">
        <f t="shared" si="4"/>
        <v>1513</v>
      </c>
      <c r="B133" s="40">
        <v>28</v>
      </c>
      <c r="C133" s="33" t="s">
        <v>472</v>
      </c>
      <c r="D133" s="562"/>
    </row>
    <row r="134" spans="1:4">
      <c r="A134" s="40">
        <f t="shared" si="4"/>
        <v>1541</v>
      </c>
      <c r="B134" s="40">
        <v>28</v>
      </c>
      <c r="C134" s="33" t="s">
        <v>473</v>
      </c>
      <c r="D134" s="562"/>
    </row>
    <row r="135" spans="1:4">
      <c r="A135" s="40">
        <f t="shared" si="4"/>
        <v>1569</v>
      </c>
      <c r="B135" s="40">
        <v>28</v>
      </c>
      <c r="C135" s="33" t="s">
        <v>474</v>
      </c>
      <c r="D135" s="562"/>
    </row>
    <row r="136" spans="1:4">
      <c r="A136" s="40">
        <f t="shared" si="4"/>
        <v>1597</v>
      </c>
      <c r="B136" s="40">
        <v>28</v>
      </c>
      <c r="C136" s="33" t="s">
        <v>475</v>
      </c>
      <c r="D136" s="562"/>
    </row>
    <row r="137" spans="1:4">
      <c r="A137" s="40">
        <f t="shared" si="4"/>
        <v>1625</v>
      </c>
      <c r="B137" s="40">
        <v>28</v>
      </c>
      <c r="C137" s="33" t="s">
        <v>476</v>
      </c>
      <c r="D137" s="562"/>
    </row>
    <row r="138" spans="1:4">
      <c r="A138" s="40">
        <f t="shared" si="4"/>
        <v>1653</v>
      </c>
      <c r="B138" s="40">
        <v>28</v>
      </c>
      <c r="C138" s="33" t="s">
        <v>477</v>
      </c>
      <c r="D138" s="562"/>
    </row>
    <row r="139" spans="1:4">
      <c r="A139" s="40">
        <f t="shared" si="4"/>
        <v>1681</v>
      </c>
      <c r="B139" s="40">
        <v>28</v>
      </c>
      <c r="C139" s="33" t="s">
        <v>478</v>
      </c>
      <c r="D139" s="562"/>
    </row>
    <row r="140" spans="1:4">
      <c r="A140" s="40">
        <f t="shared" si="4"/>
        <v>1709</v>
      </c>
      <c r="B140" s="40">
        <v>28</v>
      </c>
      <c r="C140" s="33" t="s">
        <v>479</v>
      </c>
      <c r="D140" s="562"/>
    </row>
    <row r="141" spans="1:4">
      <c r="A141" s="40">
        <f t="shared" si="4"/>
        <v>1737</v>
      </c>
      <c r="B141" s="40">
        <v>28</v>
      </c>
      <c r="C141" s="33" t="s">
        <v>480</v>
      </c>
      <c r="D141" s="562"/>
    </row>
    <row r="142" spans="1:4">
      <c r="A142" s="40">
        <f t="shared" si="4"/>
        <v>1765</v>
      </c>
      <c r="B142" s="40">
        <v>28</v>
      </c>
      <c r="C142" s="33" t="s">
        <v>481</v>
      </c>
      <c r="D142" s="563"/>
    </row>
    <row r="143" spans="1:4" ht="22.8">
      <c r="A143" s="40">
        <f t="shared" si="4"/>
        <v>1793</v>
      </c>
      <c r="B143" s="40">
        <v>2</v>
      </c>
      <c r="C143" s="40" t="s">
        <v>121</v>
      </c>
      <c r="D143" s="32" t="s">
        <v>122</v>
      </c>
    </row>
    <row r="144" spans="1:4" ht="22.8">
      <c r="A144" s="40">
        <f t="shared" si="4"/>
        <v>1795</v>
      </c>
      <c r="B144" s="40">
        <v>1</v>
      </c>
      <c r="C144" s="40" t="s">
        <v>521</v>
      </c>
      <c r="D144" s="32" t="s">
        <v>483</v>
      </c>
    </row>
    <row r="145" spans="1:4" ht="22.8">
      <c r="A145" s="40">
        <f t="shared" si="4"/>
        <v>1796</v>
      </c>
      <c r="B145" s="30">
        <v>2</v>
      </c>
      <c r="C145" s="30" t="s">
        <v>127</v>
      </c>
      <c r="D145" s="32" t="s">
        <v>128</v>
      </c>
    </row>
    <row r="146" spans="1:4" ht="34.200000000000003">
      <c r="A146" s="40">
        <f t="shared" si="4"/>
        <v>1798</v>
      </c>
      <c r="B146" s="30">
        <v>4</v>
      </c>
      <c r="C146" s="30" t="s">
        <v>129</v>
      </c>
      <c r="D146" s="32" t="s">
        <v>130</v>
      </c>
    </row>
    <row r="147" spans="1:4">
      <c r="A147" s="40">
        <f t="shared" si="4"/>
        <v>1802</v>
      </c>
      <c r="B147" s="30">
        <v>1</v>
      </c>
      <c r="C147" s="30" t="s">
        <v>131</v>
      </c>
      <c r="D147" s="32" t="s">
        <v>132</v>
      </c>
    </row>
    <row r="148" spans="1:4">
      <c r="A148" s="40">
        <f t="shared" si="4"/>
        <v>1803</v>
      </c>
      <c r="B148" s="53" t="s">
        <v>486</v>
      </c>
    </row>
  </sheetData>
  <mergeCells count="11">
    <mergeCell ref="D82:D142"/>
    <mergeCell ref="D42:D43"/>
    <mergeCell ref="D45:D46"/>
    <mergeCell ref="D54:D55"/>
    <mergeCell ref="D57:D58"/>
    <mergeCell ref="D60:D61"/>
    <mergeCell ref="A2:E2"/>
    <mergeCell ref="A4:E4"/>
    <mergeCell ref="A20:E20"/>
    <mergeCell ref="A22:E22"/>
    <mergeCell ref="D39:D40"/>
  </mergeCells>
  <pageMargins left="0.69861111111111096" right="0.69861111111111096" top="0.75" bottom="0.75" header="0.3" footer="0.3"/>
  <headerFooter scaleWithDoc="0"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64"/>
  <sheetViews>
    <sheetView topLeftCell="A30" workbookViewId="0">
      <selection activeCell="D53" sqref="D53:D55"/>
    </sheetView>
  </sheetViews>
  <sheetFormatPr defaultColWidth="9.109375" defaultRowHeight="13.2"/>
  <cols>
    <col min="1" max="1" width="24.44140625" style="67" customWidth="1"/>
    <col min="2" max="2" width="17.6640625" style="67"/>
    <col min="3" max="3" width="26" style="67"/>
    <col min="4" max="4" width="27.109375" style="68" customWidth="1"/>
    <col min="5" max="5" width="31.21875" style="69" customWidth="1"/>
  </cols>
  <sheetData>
    <row r="1" spans="1:5" ht="15">
      <c r="A1" s="550"/>
      <c r="B1" s="550"/>
    </row>
    <row r="2" spans="1:5" ht="15">
      <c r="A2" s="555" t="s">
        <v>108</v>
      </c>
      <c r="B2" s="555"/>
      <c r="C2" s="555"/>
      <c r="D2" s="555"/>
      <c r="E2" s="555"/>
    </row>
    <row r="4" spans="1:5" ht="15">
      <c r="A4" s="555" t="s">
        <v>109</v>
      </c>
      <c r="B4" s="555"/>
      <c r="C4" s="555"/>
      <c r="D4" s="555"/>
      <c r="E4" s="555"/>
    </row>
    <row r="6" spans="1:5" ht="15">
      <c r="A6" s="72" t="s">
        <v>110</v>
      </c>
      <c r="B6" s="72" t="s">
        <v>111</v>
      </c>
      <c r="C6" s="73" t="s">
        <v>112</v>
      </c>
      <c r="D6" s="74" t="s">
        <v>113</v>
      </c>
      <c r="E6" s="70"/>
    </row>
    <row r="7" spans="1:5">
      <c r="A7" s="67">
        <v>0</v>
      </c>
      <c r="B7" s="67">
        <v>1</v>
      </c>
      <c r="C7" s="67" t="s">
        <v>114</v>
      </c>
      <c r="D7" s="68" t="s">
        <v>115</v>
      </c>
    </row>
    <row r="8" spans="1:5" ht="22.8">
      <c r="A8" s="67">
        <f t="shared" ref="A8:A17" si="0">A7+B7</f>
        <v>1</v>
      </c>
      <c r="B8" s="67">
        <v>1</v>
      </c>
      <c r="C8" s="67" t="s">
        <v>116</v>
      </c>
      <c r="D8" s="68" t="s">
        <v>117</v>
      </c>
    </row>
    <row r="9" spans="1:5">
      <c r="A9" s="67">
        <f t="shared" si="0"/>
        <v>2</v>
      </c>
      <c r="B9" s="67">
        <v>1</v>
      </c>
      <c r="C9" s="67" t="s">
        <v>118</v>
      </c>
      <c r="D9" s="68" t="s">
        <v>119</v>
      </c>
    </row>
    <row r="10" spans="1:5" ht="39.6">
      <c r="A10" s="67">
        <f t="shared" si="0"/>
        <v>3</v>
      </c>
      <c r="B10" s="67">
        <v>2</v>
      </c>
      <c r="C10" s="40" t="s">
        <v>120</v>
      </c>
      <c r="D10" s="68" t="str">
        <f>DEC2HEX(A17-5)</f>
        <v>C</v>
      </c>
      <c r="E10" s="75"/>
    </row>
    <row r="11" spans="1:5" ht="22.8">
      <c r="A11" s="67">
        <f t="shared" si="0"/>
        <v>5</v>
      </c>
      <c r="B11" s="67">
        <v>2</v>
      </c>
      <c r="C11" s="76" t="s">
        <v>121</v>
      </c>
      <c r="D11" s="68" t="s">
        <v>122</v>
      </c>
    </row>
    <row r="12" spans="1:5" ht="22.8">
      <c r="A12" s="67">
        <f t="shared" si="0"/>
        <v>7</v>
      </c>
      <c r="B12" s="67">
        <v>2</v>
      </c>
      <c r="C12" s="76" t="s">
        <v>123</v>
      </c>
      <c r="D12" s="68" t="s">
        <v>124</v>
      </c>
    </row>
    <row r="13" spans="1:5">
      <c r="A13" s="67">
        <f t="shared" si="0"/>
        <v>9</v>
      </c>
      <c r="B13" s="67">
        <v>1</v>
      </c>
      <c r="C13" s="76" t="s">
        <v>125</v>
      </c>
      <c r="D13" s="68" t="s">
        <v>126</v>
      </c>
    </row>
    <row r="14" spans="1:5" ht="22.8">
      <c r="A14" s="67">
        <f t="shared" si="0"/>
        <v>10</v>
      </c>
      <c r="B14" s="67">
        <v>2</v>
      </c>
      <c r="C14" s="30" t="s">
        <v>127</v>
      </c>
      <c r="D14" s="68" t="s">
        <v>128</v>
      </c>
    </row>
    <row r="15" spans="1:5" ht="34.200000000000003">
      <c r="A15" s="67">
        <f t="shared" si="0"/>
        <v>12</v>
      </c>
      <c r="B15" s="67">
        <v>4</v>
      </c>
      <c r="C15" s="67" t="s">
        <v>129</v>
      </c>
      <c r="D15" s="68" t="s">
        <v>130</v>
      </c>
    </row>
    <row r="16" spans="1:5">
      <c r="A16" s="67">
        <f t="shared" si="0"/>
        <v>16</v>
      </c>
      <c r="B16" s="67">
        <v>1</v>
      </c>
      <c r="C16" s="67" t="s">
        <v>131</v>
      </c>
      <c r="D16" s="68" t="s">
        <v>132</v>
      </c>
    </row>
    <row r="17" spans="1:5">
      <c r="A17" s="67">
        <f t="shared" si="0"/>
        <v>17</v>
      </c>
      <c r="C17" s="76"/>
    </row>
    <row r="18" spans="1:5">
      <c r="C18" s="76"/>
    </row>
    <row r="19" spans="1:5" ht="15">
      <c r="A19" s="550"/>
      <c r="B19" s="550"/>
      <c r="C19" s="76"/>
    </row>
    <row r="20" spans="1:5" ht="15">
      <c r="A20" s="555" t="s">
        <v>133</v>
      </c>
      <c r="B20" s="555"/>
      <c r="C20" s="555"/>
      <c r="D20" s="555"/>
      <c r="E20" s="555"/>
    </row>
    <row r="21" spans="1:5" ht="15">
      <c r="A21" s="71"/>
      <c r="B21" s="71"/>
      <c r="C21" s="71"/>
      <c r="D21" s="77"/>
    </row>
    <row r="22" spans="1:5" ht="15">
      <c r="A22" s="555" t="s">
        <v>1389</v>
      </c>
      <c r="B22" s="555"/>
      <c r="C22" s="555"/>
      <c r="D22" s="555"/>
      <c r="E22" s="555"/>
    </row>
    <row r="24" spans="1:5" ht="15">
      <c r="A24" s="37" t="s">
        <v>110</v>
      </c>
      <c r="B24" s="72" t="s">
        <v>111</v>
      </c>
      <c r="C24" s="73" t="s">
        <v>112</v>
      </c>
      <c r="D24" s="74" t="s">
        <v>113</v>
      </c>
      <c r="E24" s="70"/>
    </row>
    <row r="25" spans="1:5">
      <c r="A25" s="76">
        <v>0</v>
      </c>
      <c r="B25" s="76">
        <v>1</v>
      </c>
      <c r="C25" s="76" t="s">
        <v>135</v>
      </c>
      <c r="D25" s="68" t="s">
        <v>115</v>
      </c>
    </row>
    <row r="26" spans="1:5" ht="22.8">
      <c r="A26" s="76">
        <f t="shared" ref="A26:A46" si="1">A25+B25</f>
        <v>1</v>
      </c>
      <c r="B26" s="76">
        <v>1</v>
      </c>
      <c r="C26" s="76" t="s">
        <v>136</v>
      </c>
      <c r="D26" s="68" t="s">
        <v>137</v>
      </c>
    </row>
    <row r="27" spans="1:5">
      <c r="A27" s="76">
        <f t="shared" si="1"/>
        <v>2</v>
      </c>
      <c r="B27" s="76">
        <v>1</v>
      </c>
      <c r="C27" s="76" t="s">
        <v>1378</v>
      </c>
      <c r="D27" s="68" t="s">
        <v>139</v>
      </c>
    </row>
    <row r="28" spans="1:5" ht="39.6">
      <c r="A28" s="76">
        <f t="shared" si="1"/>
        <v>3</v>
      </c>
      <c r="B28" s="76">
        <v>3</v>
      </c>
      <c r="C28" s="40" t="s">
        <v>120</v>
      </c>
      <c r="D28" s="122" t="str">
        <f>DEC2HEX(A364-5)</f>
        <v>10FA</v>
      </c>
      <c r="E28" s="75"/>
    </row>
    <row r="29" spans="1:5">
      <c r="A29" s="76">
        <f t="shared" si="1"/>
        <v>6</v>
      </c>
      <c r="B29" s="123"/>
      <c r="C29" s="124" t="s">
        <v>258</v>
      </c>
      <c r="D29" s="98"/>
      <c r="E29" s="125"/>
    </row>
    <row r="30" spans="1:5" ht="285">
      <c r="A30" s="76">
        <f t="shared" si="1"/>
        <v>6</v>
      </c>
      <c r="B30" s="67">
        <v>1</v>
      </c>
      <c r="C30" s="76" t="s">
        <v>493</v>
      </c>
      <c r="D30" s="126" t="s">
        <v>1379</v>
      </c>
      <c r="E30" s="127" t="s">
        <v>494</v>
      </c>
    </row>
    <row r="31" spans="1:5">
      <c r="A31" s="76">
        <f t="shared" si="1"/>
        <v>7</v>
      </c>
      <c r="B31" s="76">
        <v>3</v>
      </c>
      <c r="C31" s="76" t="s">
        <v>259</v>
      </c>
      <c r="D31" s="564" t="s">
        <v>958</v>
      </c>
    </row>
    <row r="32" spans="1:5">
      <c r="A32" s="76">
        <f t="shared" si="1"/>
        <v>10</v>
      </c>
      <c r="B32" s="76">
        <v>3</v>
      </c>
      <c r="C32" s="76" t="s">
        <v>261</v>
      </c>
      <c r="D32" s="564"/>
    </row>
    <row r="33" spans="1:5" ht="26.4">
      <c r="A33" s="76">
        <f t="shared" si="1"/>
        <v>13</v>
      </c>
      <c r="B33" s="76">
        <v>3</v>
      </c>
      <c r="C33" s="76" t="s">
        <v>262</v>
      </c>
      <c r="D33" s="565" t="s">
        <v>1390</v>
      </c>
    </row>
    <row r="34" spans="1:5" ht="26.4">
      <c r="A34" s="76">
        <f t="shared" si="1"/>
        <v>16</v>
      </c>
      <c r="B34" s="76">
        <v>3</v>
      </c>
      <c r="C34" s="76" t="s">
        <v>265</v>
      </c>
      <c r="D34" s="565"/>
    </row>
    <row r="35" spans="1:5">
      <c r="A35" s="76">
        <f t="shared" si="1"/>
        <v>19</v>
      </c>
      <c r="B35" s="76">
        <v>2</v>
      </c>
      <c r="C35" s="76" t="s">
        <v>1391</v>
      </c>
      <c r="D35" s="566" t="s">
        <v>1392</v>
      </c>
    </row>
    <row r="36" spans="1:5">
      <c r="A36" s="76">
        <f t="shared" si="1"/>
        <v>21</v>
      </c>
      <c r="B36" s="76">
        <v>2</v>
      </c>
      <c r="C36" s="76" t="s">
        <v>1393</v>
      </c>
      <c r="D36" s="566"/>
    </row>
    <row r="37" spans="1:5">
      <c r="A37" s="76">
        <f t="shared" si="1"/>
        <v>23</v>
      </c>
      <c r="B37" s="76">
        <v>2</v>
      </c>
      <c r="C37" s="76" t="s">
        <v>1394</v>
      </c>
      <c r="D37" s="566"/>
    </row>
    <row r="38" spans="1:5">
      <c r="A38" s="76">
        <f t="shared" si="1"/>
        <v>25</v>
      </c>
      <c r="B38" s="76">
        <v>3</v>
      </c>
      <c r="C38" s="76" t="s">
        <v>266</v>
      </c>
      <c r="D38" s="567" t="s">
        <v>960</v>
      </c>
    </row>
    <row r="39" spans="1:5">
      <c r="A39" s="76">
        <f t="shared" si="1"/>
        <v>28</v>
      </c>
      <c r="B39" s="76">
        <v>3</v>
      </c>
      <c r="C39" s="76" t="s">
        <v>269</v>
      </c>
      <c r="D39" s="567"/>
    </row>
    <row r="40" spans="1:5">
      <c r="A40" s="76">
        <f t="shared" si="1"/>
        <v>31</v>
      </c>
      <c r="B40" s="76">
        <v>3</v>
      </c>
      <c r="C40" s="76" t="s">
        <v>1395</v>
      </c>
      <c r="D40" s="567"/>
    </row>
    <row r="41" spans="1:5">
      <c r="A41" s="76">
        <f t="shared" si="1"/>
        <v>34</v>
      </c>
      <c r="B41" s="76">
        <v>4</v>
      </c>
      <c r="C41" s="76" t="s">
        <v>276</v>
      </c>
      <c r="D41" s="568" t="s">
        <v>963</v>
      </c>
    </row>
    <row r="42" spans="1:5">
      <c r="A42" s="76">
        <f t="shared" si="1"/>
        <v>38</v>
      </c>
      <c r="B42" s="76" t="s">
        <v>151</v>
      </c>
      <c r="C42" s="76" t="s">
        <v>278</v>
      </c>
      <c r="D42" s="568"/>
    </row>
    <row r="43" spans="1:5">
      <c r="A43" s="76">
        <f t="shared" si="1"/>
        <v>42</v>
      </c>
      <c r="B43" s="76" t="s">
        <v>151</v>
      </c>
      <c r="C43" s="76" t="s">
        <v>279</v>
      </c>
      <c r="D43" s="568"/>
    </row>
    <row r="44" spans="1:5">
      <c r="A44" s="76">
        <f t="shared" si="1"/>
        <v>46</v>
      </c>
      <c r="B44" s="76" t="s">
        <v>151</v>
      </c>
      <c r="C44" s="76" t="s">
        <v>280</v>
      </c>
      <c r="D44" s="568"/>
    </row>
    <row r="45" spans="1:5" ht="102.6">
      <c r="A45" s="76">
        <f t="shared" si="1"/>
        <v>50</v>
      </c>
      <c r="B45" s="76" t="s">
        <v>151</v>
      </c>
      <c r="C45" s="76" t="s">
        <v>281</v>
      </c>
      <c r="D45" s="114" t="s">
        <v>1380</v>
      </c>
    </row>
    <row r="46" spans="1:5" ht="34.200000000000003">
      <c r="A46" s="76">
        <f t="shared" si="1"/>
        <v>54</v>
      </c>
      <c r="B46" s="67" t="s">
        <v>148</v>
      </c>
      <c r="C46" s="67" t="s">
        <v>1396</v>
      </c>
      <c r="D46" s="68" t="s">
        <v>286</v>
      </c>
    </row>
    <row r="47" spans="1:5">
      <c r="A47" s="76"/>
      <c r="C47" s="124" t="s">
        <v>294</v>
      </c>
    </row>
    <row r="48" spans="1:5" ht="285">
      <c r="A48" s="76">
        <f>A46+B46</f>
        <v>57</v>
      </c>
      <c r="B48" s="67" t="s">
        <v>163</v>
      </c>
      <c r="C48" s="76" t="s">
        <v>493</v>
      </c>
      <c r="D48" s="126" t="s">
        <v>1381</v>
      </c>
      <c r="E48" s="127" t="s">
        <v>494</v>
      </c>
    </row>
    <row r="49" spans="1:4">
      <c r="A49" s="76">
        <f t="shared" ref="A49:A64" si="2">A48+B48</f>
        <v>58</v>
      </c>
      <c r="B49" s="76" t="s">
        <v>148</v>
      </c>
      <c r="C49" s="76" t="s">
        <v>259</v>
      </c>
      <c r="D49" s="564" t="s">
        <v>958</v>
      </c>
    </row>
    <row r="50" spans="1:4">
      <c r="A50" s="76">
        <f t="shared" si="2"/>
        <v>61</v>
      </c>
      <c r="B50" s="76" t="s">
        <v>148</v>
      </c>
      <c r="C50" s="76" t="s">
        <v>261</v>
      </c>
      <c r="D50" s="564"/>
    </row>
    <row r="51" spans="1:4" ht="26.4">
      <c r="A51" s="76">
        <f t="shared" si="2"/>
        <v>64</v>
      </c>
      <c r="B51" s="67" t="s">
        <v>148</v>
      </c>
      <c r="C51" s="76" t="s">
        <v>262</v>
      </c>
      <c r="D51" s="565" t="s">
        <v>959</v>
      </c>
    </row>
    <row r="52" spans="1:4" ht="26.4">
      <c r="A52" s="76">
        <f t="shared" si="2"/>
        <v>67</v>
      </c>
      <c r="B52" s="76" t="s">
        <v>148</v>
      </c>
      <c r="C52" s="76" t="s">
        <v>265</v>
      </c>
      <c r="D52" s="565"/>
    </row>
    <row r="53" spans="1:4">
      <c r="A53" s="76">
        <f t="shared" si="2"/>
        <v>70</v>
      </c>
      <c r="B53" s="76" t="s">
        <v>145</v>
      </c>
      <c r="C53" s="76" t="s">
        <v>1391</v>
      </c>
      <c r="D53" s="566" t="s">
        <v>1392</v>
      </c>
    </row>
    <row r="54" spans="1:4">
      <c r="A54" s="76">
        <f t="shared" si="2"/>
        <v>72</v>
      </c>
      <c r="B54" s="76" t="s">
        <v>145</v>
      </c>
      <c r="C54" s="76" t="s">
        <v>1393</v>
      </c>
      <c r="D54" s="566"/>
    </row>
    <row r="55" spans="1:4">
      <c r="A55" s="76">
        <f t="shared" si="2"/>
        <v>74</v>
      </c>
      <c r="B55" s="76" t="s">
        <v>145</v>
      </c>
      <c r="C55" s="76" t="s">
        <v>1394</v>
      </c>
      <c r="D55" s="566"/>
    </row>
    <row r="56" spans="1:4">
      <c r="A56" s="76">
        <f t="shared" si="2"/>
        <v>76</v>
      </c>
      <c r="B56" s="76" t="s">
        <v>148</v>
      </c>
      <c r="C56" s="76" t="s">
        <v>266</v>
      </c>
      <c r="D56" s="567" t="s">
        <v>960</v>
      </c>
    </row>
    <row r="57" spans="1:4">
      <c r="A57" s="76">
        <f t="shared" si="2"/>
        <v>79</v>
      </c>
      <c r="B57" s="76" t="s">
        <v>148</v>
      </c>
      <c r="C57" s="76" t="s">
        <v>269</v>
      </c>
      <c r="D57" s="567"/>
    </row>
    <row r="58" spans="1:4">
      <c r="A58" s="76">
        <f t="shared" si="2"/>
        <v>82</v>
      </c>
      <c r="B58" s="76" t="s">
        <v>148</v>
      </c>
      <c r="C58" s="76" t="s">
        <v>1395</v>
      </c>
      <c r="D58" s="567"/>
    </row>
    <row r="59" spans="1:4">
      <c r="A59" s="76">
        <f t="shared" si="2"/>
        <v>85</v>
      </c>
      <c r="B59" s="76" t="s">
        <v>151</v>
      </c>
      <c r="C59" s="76" t="s">
        <v>276</v>
      </c>
      <c r="D59" s="568" t="s">
        <v>963</v>
      </c>
    </row>
    <row r="60" spans="1:4">
      <c r="A60" s="76">
        <f t="shared" si="2"/>
        <v>89</v>
      </c>
      <c r="B60" s="76" t="s">
        <v>151</v>
      </c>
      <c r="C60" s="76" t="s">
        <v>278</v>
      </c>
      <c r="D60" s="568"/>
    </row>
    <row r="61" spans="1:4">
      <c r="A61" s="76">
        <f t="shared" si="2"/>
        <v>93</v>
      </c>
      <c r="B61" s="76" t="s">
        <v>151</v>
      </c>
      <c r="C61" s="76" t="s">
        <v>279</v>
      </c>
      <c r="D61" s="568"/>
    </row>
    <row r="62" spans="1:4">
      <c r="A62" s="76">
        <f t="shared" si="2"/>
        <v>97</v>
      </c>
      <c r="B62" s="76" t="s">
        <v>151</v>
      </c>
      <c r="C62" s="76" t="s">
        <v>280</v>
      </c>
      <c r="D62" s="568"/>
    </row>
    <row r="63" spans="1:4" ht="102.6">
      <c r="A63" s="76">
        <f t="shared" si="2"/>
        <v>101</v>
      </c>
      <c r="B63" s="76" t="s">
        <v>151</v>
      </c>
      <c r="C63" s="76" t="s">
        <v>281</v>
      </c>
      <c r="D63" s="114" t="s">
        <v>964</v>
      </c>
    </row>
    <row r="64" spans="1:4" ht="34.200000000000003">
      <c r="A64" s="76">
        <f t="shared" si="2"/>
        <v>105</v>
      </c>
      <c r="B64" s="67" t="s">
        <v>148</v>
      </c>
      <c r="C64" s="67" t="s">
        <v>1396</v>
      </c>
      <c r="D64" s="68" t="s">
        <v>286</v>
      </c>
    </row>
    <row r="65" spans="1:5">
      <c r="A65" s="76"/>
      <c r="C65" s="124" t="s">
        <v>297</v>
      </c>
    </row>
    <row r="66" spans="1:5" ht="285">
      <c r="A66" s="76">
        <f>A64+B64</f>
        <v>108</v>
      </c>
      <c r="B66" s="67" t="s">
        <v>163</v>
      </c>
      <c r="C66" s="76" t="s">
        <v>493</v>
      </c>
      <c r="D66" s="126" t="s">
        <v>1382</v>
      </c>
      <c r="E66" s="127" t="s">
        <v>494</v>
      </c>
    </row>
    <row r="67" spans="1:5">
      <c r="A67" s="76">
        <f t="shared" ref="A67:A82" si="3">A66+B66</f>
        <v>109</v>
      </c>
      <c r="B67" s="76" t="s">
        <v>148</v>
      </c>
      <c r="C67" s="76" t="s">
        <v>259</v>
      </c>
      <c r="D67" s="564" t="s">
        <v>958</v>
      </c>
    </row>
    <row r="68" spans="1:5">
      <c r="A68" s="76">
        <f t="shared" si="3"/>
        <v>112</v>
      </c>
      <c r="B68" s="76" t="s">
        <v>148</v>
      </c>
      <c r="C68" s="76" t="s">
        <v>261</v>
      </c>
      <c r="D68" s="564"/>
    </row>
    <row r="69" spans="1:5" ht="26.4">
      <c r="A69" s="76">
        <f t="shared" si="3"/>
        <v>115</v>
      </c>
      <c r="B69" s="67" t="s">
        <v>148</v>
      </c>
      <c r="C69" s="76" t="s">
        <v>262</v>
      </c>
      <c r="D69" s="565" t="s">
        <v>1397</v>
      </c>
    </row>
    <row r="70" spans="1:5" ht="26.4">
      <c r="A70" s="76">
        <f t="shared" si="3"/>
        <v>118</v>
      </c>
      <c r="B70" s="76" t="s">
        <v>148</v>
      </c>
      <c r="C70" s="76" t="s">
        <v>265</v>
      </c>
      <c r="D70" s="565"/>
    </row>
    <row r="71" spans="1:5">
      <c r="A71" s="76">
        <f t="shared" si="3"/>
        <v>121</v>
      </c>
      <c r="B71" s="76" t="s">
        <v>145</v>
      </c>
      <c r="C71" s="76" t="s">
        <v>1391</v>
      </c>
      <c r="D71" s="566" t="s">
        <v>1392</v>
      </c>
    </row>
    <row r="72" spans="1:5">
      <c r="A72" s="76">
        <f t="shared" si="3"/>
        <v>123</v>
      </c>
      <c r="B72" s="76" t="s">
        <v>145</v>
      </c>
      <c r="C72" s="76" t="s">
        <v>1393</v>
      </c>
      <c r="D72" s="566"/>
    </row>
    <row r="73" spans="1:5">
      <c r="A73" s="76">
        <f t="shared" si="3"/>
        <v>125</v>
      </c>
      <c r="B73" s="76" t="s">
        <v>145</v>
      </c>
      <c r="C73" s="76" t="s">
        <v>1394</v>
      </c>
      <c r="D73" s="566"/>
    </row>
    <row r="74" spans="1:5">
      <c r="A74" s="76">
        <f t="shared" si="3"/>
        <v>127</v>
      </c>
      <c r="B74" s="76" t="s">
        <v>148</v>
      </c>
      <c r="C74" s="76" t="s">
        <v>266</v>
      </c>
      <c r="D74" s="567" t="s">
        <v>960</v>
      </c>
    </row>
    <row r="75" spans="1:5">
      <c r="A75" s="76">
        <f t="shared" si="3"/>
        <v>130</v>
      </c>
      <c r="B75" s="76" t="s">
        <v>148</v>
      </c>
      <c r="C75" s="76" t="s">
        <v>269</v>
      </c>
      <c r="D75" s="567"/>
    </row>
    <row r="76" spans="1:5">
      <c r="A76" s="76">
        <f t="shared" si="3"/>
        <v>133</v>
      </c>
      <c r="B76" s="76" t="s">
        <v>148</v>
      </c>
      <c r="C76" s="76" t="s">
        <v>1395</v>
      </c>
      <c r="D76" s="567"/>
    </row>
    <row r="77" spans="1:5">
      <c r="A77" s="76">
        <f t="shared" si="3"/>
        <v>136</v>
      </c>
      <c r="B77" s="76" t="s">
        <v>151</v>
      </c>
      <c r="C77" s="76" t="s">
        <v>276</v>
      </c>
      <c r="D77" s="568" t="s">
        <v>963</v>
      </c>
    </row>
    <row r="78" spans="1:5">
      <c r="A78" s="76">
        <f t="shared" si="3"/>
        <v>140</v>
      </c>
      <c r="B78" s="76" t="s">
        <v>151</v>
      </c>
      <c r="C78" s="76" t="s">
        <v>278</v>
      </c>
      <c r="D78" s="568"/>
    </row>
    <row r="79" spans="1:5">
      <c r="A79" s="76">
        <f t="shared" si="3"/>
        <v>144</v>
      </c>
      <c r="B79" s="76" t="s">
        <v>151</v>
      </c>
      <c r="C79" s="76" t="s">
        <v>279</v>
      </c>
      <c r="D79" s="568"/>
    </row>
    <row r="80" spans="1:5">
      <c r="A80" s="76">
        <f t="shared" si="3"/>
        <v>148</v>
      </c>
      <c r="B80" s="76" t="s">
        <v>151</v>
      </c>
      <c r="C80" s="76" t="s">
        <v>280</v>
      </c>
      <c r="D80" s="568"/>
    </row>
    <row r="81" spans="1:4" ht="102.6">
      <c r="A81" s="76">
        <f t="shared" si="3"/>
        <v>152</v>
      </c>
      <c r="B81" s="76" t="s">
        <v>151</v>
      </c>
      <c r="C81" s="76" t="s">
        <v>281</v>
      </c>
      <c r="D81" s="114" t="s">
        <v>1383</v>
      </c>
    </row>
    <row r="82" spans="1:4" ht="34.200000000000003">
      <c r="A82" s="76">
        <f t="shared" si="3"/>
        <v>156</v>
      </c>
      <c r="B82" s="67" t="s">
        <v>148</v>
      </c>
      <c r="C82" s="67" t="s">
        <v>1396</v>
      </c>
      <c r="D82" s="68" t="s">
        <v>286</v>
      </c>
    </row>
    <row r="83" spans="1:4">
      <c r="A83" s="76"/>
      <c r="C83" s="124" t="s">
        <v>218</v>
      </c>
    </row>
    <row r="84" spans="1:4" ht="57">
      <c r="A84" s="76">
        <f>A82+B82</f>
        <v>159</v>
      </c>
      <c r="B84" s="67" t="s">
        <v>148</v>
      </c>
      <c r="C84" s="67" t="s">
        <v>1358</v>
      </c>
      <c r="D84" s="68" t="s">
        <v>1398</v>
      </c>
    </row>
    <row r="85" spans="1:4">
      <c r="A85" s="76">
        <f t="shared" ref="A85:A100" si="4">A84+B84</f>
        <v>162</v>
      </c>
      <c r="B85" s="67" t="s">
        <v>163</v>
      </c>
      <c r="C85" s="67" t="s">
        <v>499</v>
      </c>
      <c r="D85" s="569" t="s">
        <v>966</v>
      </c>
    </row>
    <row r="86" spans="1:4">
      <c r="A86" s="76">
        <f t="shared" si="4"/>
        <v>163</v>
      </c>
      <c r="B86" s="67" t="s">
        <v>163</v>
      </c>
      <c r="C86" s="67" t="s">
        <v>500</v>
      </c>
      <c r="D86" s="569"/>
    </row>
    <row r="87" spans="1:4">
      <c r="A87" s="76">
        <f t="shared" si="4"/>
        <v>164</v>
      </c>
      <c r="B87" s="67" t="s">
        <v>163</v>
      </c>
      <c r="C87" s="67" t="s">
        <v>224</v>
      </c>
      <c r="D87" s="569"/>
    </row>
    <row r="88" spans="1:4">
      <c r="A88" s="76">
        <f t="shared" si="4"/>
        <v>165</v>
      </c>
      <c r="B88" s="67" t="s">
        <v>163</v>
      </c>
      <c r="C88" s="67" t="s">
        <v>225</v>
      </c>
      <c r="D88" s="569"/>
    </row>
    <row r="89" spans="1:4">
      <c r="A89" s="76">
        <f t="shared" si="4"/>
        <v>166</v>
      </c>
      <c r="B89" s="67" t="s">
        <v>163</v>
      </c>
      <c r="C89" s="67" t="s">
        <v>226</v>
      </c>
      <c r="D89" s="569"/>
    </row>
    <row r="90" spans="1:4">
      <c r="A90" s="76">
        <f t="shared" si="4"/>
        <v>167</v>
      </c>
      <c r="B90" s="67" t="s">
        <v>163</v>
      </c>
      <c r="C90" s="67" t="s">
        <v>227</v>
      </c>
      <c r="D90" s="569"/>
    </row>
    <row r="91" spans="1:4">
      <c r="A91" s="76">
        <f t="shared" si="4"/>
        <v>168</v>
      </c>
      <c r="B91" s="67" t="s">
        <v>163</v>
      </c>
      <c r="C91" s="67" t="s">
        <v>228</v>
      </c>
      <c r="D91" s="569"/>
    </row>
    <row r="92" spans="1:4">
      <c r="A92" s="76">
        <f t="shared" si="4"/>
        <v>169</v>
      </c>
      <c r="B92" s="67" t="s">
        <v>163</v>
      </c>
      <c r="C92" s="67" t="s">
        <v>229</v>
      </c>
      <c r="D92" s="569"/>
    </row>
    <row r="93" spans="1:4">
      <c r="A93" s="76">
        <f t="shared" si="4"/>
        <v>170</v>
      </c>
      <c r="B93" s="67" t="s">
        <v>163</v>
      </c>
      <c r="C93" s="67" t="s">
        <v>1365</v>
      </c>
      <c r="D93" s="569"/>
    </row>
    <row r="94" spans="1:4" ht="22.8">
      <c r="A94" s="76">
        <f t="shared" si="4"/>
        <v>171</v>
      </c>
      <c r="B94" s="67" t="s">
        <v>163</v>
      </c>
      <c r="C94" s="67" t="s">
        <v>239</v>
      </c>
      <c r="D94" s="96" t="s">
        <v>968</v>
      </c>
    </row>
    <row r="95" spans="1:4">
      <c r="A95" s="76">
        <f t="shared" si="4"/>
        <v>172</v>
      </c>
      <c r="B95" s="67" t="s">
        <v>163</v>
      </c>
      <c r="C95" s="67" t="s">
        <v>230</v>
      </c>
      <c r="D95" s="569" t="s">
        <v>955</v>
      </c>
    </row>
    <row r="96" spans="1:4">
      <c r="A96" s="76">
        <f t="shared" si="4"/>
        <v>173</v>
      </c>
      <c r="B96" s="67" t="s">
        <v>163</v>
      </c>
      <c r="C96" s="67" t="s">
        <v>231</v>
      </c>
      <c r="D96" s="569"/>
    </row>
    <row r="97" spans="1:4">
      <c r="A97" s="76">
        <f t="shared" si="4"/>
        <v>174</v>
      </c>
      <c r="B97" s="76" t="s">
        <v>148</v>
      </c>
      <c r="C97" s="76" t="s">
        <v>235</v>
      </c>
      <c r="D97" s="570" t="s">
        <v>614</v>
      </c>
    </row>
    <row r="98" spans="1:4">
      <c r="A98" s="76">
        <f t="shared" si="4"/>
        <v>177</v>
      </c>
      <c r="B98" s="76" t="s">
        <v>148</v>
      </c>
      <c r="C98" s="76" t="s">
        <v>238</v>
      </c>
      <c r="D98" s="570"/>
    </row>
    <row r="99" spans="1:4">
      <c r="A99" s="76">
        <f t="shared" si="4"/>
        <v>180</v>
      </c>
      <c r="B99" s="76" t="s">
        <v>148</v>
      </c>
      <c r="C99" s="76" t="s">
        <v>969</v>
      </c>
      <c r="D99" s="570" t="s">
        <v>970</v>
      </c>
    </row>
    <row r="100" spans="1:4">
      <c r="A100" s="76">
        <f t="shared" si="4"/>
        <v>183</v>
      </c>
      <c r="B100" s="67" t="s">
        <v>148</v>
      </c>
      <c r="C100" s="76" t="s">
        <v>971</v>
      </c>
      <c r="D100" s="570"/>
    </row>
    <row r="101" spans="1:4">
      <c r="A101" s="76"/>
      <c r="C101" s="124" t="s">
        <v>245</v>
      </c>
    </row>
    <row r="102" spans="1:4" ht="57">
      <c r="A102" s="76">
        <f>A100+B100</f>
        <v>186</v>
      </c>
      <c r="B102" s="67" t="s">
        <v>148</v>
      </c>
      <c r="C102" s="67" t="s">
        <v>1358</v>
      </c>
      <c r="D102" s="68" t="s">
        <v>1399</v>
      </c>
    </row>
    <row r="103" spans="1:4">
      <c r="A103" s="76">
        <f t="shared" ref="A103:A118" si="5">A102+B102</f>
        <v>189</v>
      </c>
      <c r="B103" s="67" t="s">
        <v>163</v>
      </c>
      <c r="C103" s="67" t="s">
        <v>499</v>
      </c>
      <c r="D103" s="569" t="s">
        <v>966</v>
      </c>
    </row>
    <row r="104" spans="1:4">
      <c r="A104" s="76">
        <f t="shared" si="5"/>
        <v>190</v>
      </c>
      <c r="B104" s="67" t="s">
        <v>163</v>
      </c>
      <c r="C104" s="67" t="s">
        <v>500</v>
      </c>
      <c r="D104" s="569"/>
    </row>
    <row r="105" spans="1:4">
      <c r="A105" s="76">
        <f t="shared" si="5"/>
        <v>191</v>
      </c>
      <c r="B105" s="67" t="s">
        <v>163</v>
      </c>
      <c r="C105" s="67" t="s">
        <v>224</v>
      </c>
      <c r="D105" s="569"/>
    </row>
    <row r="106" spans="1:4">
      <c r="A106" s="76">
        <f t="shared" si="5"/>
        <v>192</v>
      </c>
      <c r="B106" s="67" t="s">
        <v>163</v>
      </c>
      <c r="C106" s="67" t="s">
        <v>225</v>
      </c>
      <c r="D106" s="569"/>
    </row>
    <row r="107" spans="1:4">
      <c r="A107" s="76">
        <f t="shared" si="5"/>
        <v>193</v>
      </c>
      <c r="B107" s="67" t="s">
        <v>163</v>
      </c>
      <c r="C107" s="67" t="s">
        <v>226</v>
      </c>
      <c r="D107" s="569"/>
    </row>
    <row r="108" spans="1:4">
      <c r="A108" s="76">
        <f t="shared" si="5"/>
        <v>194</v>
      </c>
      <c r="B108" s="67" t="s">
        <v>163</v>
      </c>
      <c r="C108" s="67" t="s">
        <v>227</v>
      </c>
      <c r="D108" s="569"/>
    </row>
    <row r="109" spans="1:4">
      <c r="A109" s="76">
        <f t="shared" si="5"/>
        <v>195</v>
      </c>
      <c r="B109" s="67" t="s">
        <v>163</v>
      </c>
      <c r="C109" s="67" t="s">
        <v>228</v>
      </c>
      <c r="D109" s="569"/>
    </row>
    <row r="110" spans="1:4">
      <c r="A110" s="76">
        <f t="shared" si="5"/>
        <v>196</v>
      </c>
      <c r="B110" s="67" t="s">
        <v>163</v>
      </c>
      <c r="C110" s="67" t="s">
        <v>229</v>
      </c>
      <c r="D110" s="569"/>
    </row>
    <row r="111" spans="1:4">
      <c r="A111" s="76">
        <f t="shared" si="5"/>
        <v>197</v>
      </c>
      <c r="B111" s="67" t="s">
        <v>163</v>
      </c>
      <c r="C111" s="67" t="s">
        <v>1365</v>
      </c>
      <c r="D111" s="569"/>
    </row>
    <row r="112" spans="1:4" ht="22.8">
      <c r="A112" s="76">
        <f t="shared" si="5"/>
        <v>198</v>
      </c>
      <c r="B112" s="67" t="s">
        <v>163</v>
      </c>
      <c r="C112" s="67" t="s">
        <v>239</v>
      </c>
      <c r="D112" s="96" t="s">
        <v>968</v>
      </c>
    </row>
    <row r="113" spans="1:4">
      <c r="A113" s="76">
        <f t="shared" si="5"/>
        <v>199</v>
      </c>
      <c r="B113" s="67" t="s">
        <v>163</v>
      </c>
      <c r="C113" s="67" t="s">
        <v>230</v>
      </c>
      <c r="D113" s="569" t="s">
        <v>966</v>
      </c>
    </row>
    <row r="114" spans="1:4">
      <c r="A114" s="76">
        <f t="shared" si="5"/>
        <v>200</v>
      </c>
      <c r="B114" s="67" t="s">
        <v>163</v>
      </c>
      <c r="C114" s="67" t="s">
        <v>231</v>
      </c>
      <c r="D114" s="569"/>
    </row>
    <row r="115" spans="1:4">
      <c r="A115" s="76">
        <f t="shared" si="5"/>
        <v>201</v>
      </c>
      <c r="B115" s="76" t="s">
        <v>148</v>
      </c>
      <c r="C115" s="76" t="s">
        <v>235</v>
      </c>
      <c r="D115" s="570" t="s">
        <v>614</v>
      </c>
    </row>
    <row r="116" spans="1:4">
      <c r="A116" s="76">
        <f t="shared" si="5"/>
        <v>204</v>
      </c>
      <c r="B116" s="76" t="s">
        <v>148</v>
      </c>
      <c r="C116" s="76" t="s">
        <v>238</v>
      </c>
      <c r="D116" s="570"/>
    </row>
    <row r="117" spans="1:4">
      <c r="A117" s="76">
        <f t="shared" si="5"/>
        <v>207</v>
      </c>
      <c r="B117" s="76" t="s">
        <v>148</v>
      </c>
      <c r="C117" s="76" t="s">
        <v>969</v>
      </c>
      <c r="D117" s="570" t="s">
        <v>970</v>
      </c>
    </row>
    <row r="118" spans="1:4">
      <c r="A118" s="76">
        <f t="shared" si="5"/>
        <v>210</v>
      </c>
      <c r="B118" s="67" t="s">
        <v>148</v>
      </c>
      <c r="C118" s="76" t="s">
        <v>971</v>
      </c>
      <c r="D118" s="570"/>
    </row>
    <row r="119" spans="1:4">
      <c r="A119" s="76"/>
      <c r="C119" s="124" t="s">
        <v>246</v>
      </c>
    </row>
    <row r="120" spans="1:4" ht="57">
      <c r="A120" s="76">
        <f>A118+B118</f>
        <v>213</v>
      </c>
      <c r="B120" s="67" t="s">
        <v>148</v>
      </c>
      <c r="C120" s="67" t="s">
        <v>1358</v>
      </c>
      <c r="D120" s="68" t="s">
        <v>1400</v>
      </c>
    </row>
    <row r="121" spans="1:4">
      <c r="A121" s="76">
        <f t="shared" ref="A121:A136" si="6">A120+B120</f>
        <v>216</v>
      </c>
      <c r="B121" s="67" t="s">
        <v>163</v>
      </c>
      <c r="C121" s="67" t="s">
        <v>499</v>
      </c>
      <c r="D121" s="569" t="s">
        <v>966</v>
      </c>
    </row>
    <row r="122" spans="1:4">
      <c r="A122" s="76">
        <f t="shared" si="6"/>
        <v>217</v>
      </c>
      <c r="B122" s="67" t="s">
        <v>163</v>
      </c>
      <c r="C122" s="67" t="s">
        <v>500</v>
      </c>
      <c r="D122" s="569"/>
    </row>
    <row r="123" spans="1:4">
      <c r="A123" s="76">
        <f t="shared" si="6"/>
        <v>218</v>
      </c>
      <c r="B123" s="67" t="s">
        <v>163</v>
      </c>
      <c r="C123" s="67" t="s">
        <v>224</v>
      </c>
      <c r="D123" s="569"/>
    </row>
    <row r="124" spans="1:4">
      <c r="A124" s="76">
        <f t="shared" si="6"/>
        <v>219</v>
      </c>
      <c r="B124" s="67" t="s">
        <v>163</v>
      </c>
      <c r="C124" s="67" t="s">
        <v>225</v>
      </c>
      <c r="D124" s="569"/>
    </row>
    <row r="125" spans="1:4">
      <c r="A125" s="76">
        <f t="shared" si="6"/>
        <v>220</v>
      </c>
      <c r="B125" s="67" t="s">
        <v>163</v>
      </c>
      <c r="C125" s="67" t="s">
        <v>226</v>
      </c>
      <c r="D125" s="569"/>
    </row>
    <row r="126" spans="1:4">
      <c r="A126" s="76">
        <f t="shared" si="6"/>
        <v>221</v>
      </c>
      <c r="B126" s="67" t="s">
        <v>163</v>
      </c>
      <c r="C126" s="67" t="s">
        <v>227</v>
      </c>
      <c r="D126" s="569"/>
    </row>
    <row r="127" spans="1:4">
      <c r="A127" s="76">
        <f t="shared" si="6"/>
        <v>222</v>
      </c>
      <c r="B127" s="67" t="s">
        <v>163</v>
      </c>
      <c r="C127" s="67" t="s">
        <v>228</v>
      </c>
      <c r="D127" s="569"/>
    </row>
    <row r="128" spans="1:4">
      <c r="A128" s="76">
        <f t="shared" si="6"/>
        <v>223</v>
      </c>
      <c r="B128" s="67" t="s">
        <v>163</v>
      </c>
      <c r="C128" s="67" t="s">
        <v>229</v>
      </c>
      <c r="D128" s="569"/>
    </row>
    <row r="129" spans="1:4">
      <c r="A129" s="76">
        <f t="shared" si="6"/>
        <v>224</v>
      </c>
      <c r="B129" s="67" t="s">
        <v>163</v>
      </c>
      <c r="C129" s="67" t="s">
        <v>1365</v>
      </c>
      <c r="D129" s="569"/>
    </row>
    <row r="130" spans="1:4" ht="22.8">
      <c r="A130" s="76">
        <f t="shared" si="6"/>
        <v>225</v>
      </c>
      <c r="B130" s="67" t="s">
        <v>163</v>
      </c>
      <c r="C130" s="67" t="s">
        <v>239</v>
      </c>
      <c r="D130" s="96" t="s">
        <v>968</v>
      </c>
    </row>
    <row r="131" spans="1:4">
      <c r="A131" s="76">
        <f t="shared" si="6"/>
        <v>226</v>
      </c>
      <c r="B131" s="67" t="s">
        <v>163</v>
      </c>
      <c r="C131" s="67" t="s">
        <v>230</v>
      </c>
      <c r="D131" s="569" t="s">
        <v>955</v>
      </c>
    </row>
    <row r="132" spans="1:4">
      <c r="A132" s="76">
        <f t="shared" si="6"/>
        <v>227</v>
      </c>
      <c r="B132" s="67" t="s">
        <v>163</v>
      </c>
      <c r="C132" s="67" t="s">
        <v>231</v>
      </c>
      <c r="D132" s="569"/>
    </row>
    <row r="133" spans="1:4">
      <c r="A133" s="76">
        <f t="shared" si="6"/>
        <v>228</v>
      </c>
      <c r="B133" s="76" t="s">
        <v>148</v>
      </c>
      <c r="C133" s="76" t="s">
        <v>235</v>
      </c>
      <c r="D133" s="570" t="s">
        <v>614</v>
      </c>
    </row>
    <row r="134" spans="1:4">
      <c r="A134" s="76">
        <f t="shared" si="6"/>
        <v>231</v>
      </c>
      <c r="B134" s="76" t="s">
        <v>148</v>
      </c>
      <c r="C134" s="76" t="s">
        <v>238</v>
      </c>
      <c r="D134" s="570"/>
    </row>
    <row r="135" spans="1:4">
      <c r="A135" s="76">
        <f t="shared" si="6"/>
        <v>234</v>
      </c>
      <c r="B135" s="76" t="s">
        <v>148</v>
      </c>
      <c r="C135" s="76" t="s">
        <v>969</v>
      </c>
      <c r="D135" s="570" t="s">
        <v>970</v>
      </c>
    </row>
    <row r="136" spans="1:4">
      <c r="A136" s="76">
        <f t="shared" si="6"/>
        <v>237</v>
      </c>
      <c r="B136" s="67" t="s">
        <v>148</v>
      </c>
      <c r="C136" s="76" t="s">
        <v>971</v>
      </c>
      <c r="D136" s="570"/>
    </row>
    <row r="137" spans="1:4">
      <c r="A137" s="76"/>
      <c r="C137" s="124" t="s">
        <v>142</v>
      </c>
    </row>
    <row r="138" spans="1:4" ht="22.8">
      <c r="A138" s="76">
        <f>A136+B136</f>
        <v>240</v>
      </c>
      <c r="B138" s="67" t="s">
        <v>145</v>
      </c>
      <c r="C138" s="67" t="s">
        <v>146</v>
      </c>
      <c r="D138" s="68" t="s">
        <v>617</v>
      </c>
    </row>
    <row r="139" spans="1:4" ht="22.8">
      <c r="A139" s="76">
        <f t="shared" ref="A139:A151" si="7">A138+B138</f>
        <v>242</v>
      </c>
      <c r="B139" s="67" t="s">
        <v>148</v>
      </c>
      <c r="C139" s="67" t="s">
        <v>502</v>
      </c>
      <c r="D139" s="68" t="s">
        <v>1384</v>
      </c>
    </row>
    <row r="140" spans="1:4" ht="34.200000000000003">
      <c r="A140" s="76">
        <f t="shared" si="7"/>
        <v>245</v>
      </c>
      <c r="B140" s="67" t="s">
        <v>151</v>
      </c>
      <c r="C140" s="67" t="s">
        <v>503</v>
      </c>
      <c r="D140" s="68" t="s">
        <v>930</v>
      </c>
    </row>
    <row r="141" spans="1:4" ht="45.6">
      <c r="A141" s="76">
        <f t="shared" si="7"/>
        <v>249</v>
      </c>
      <c r="B141" s="67" t="s">
        <v>148</v>
      </c>
      <c r="C141" s="67" t="s">
        <v>154</v>
      </c>
      <c r="D141" s="68" t="s">
        <v>1385</v>
      </c>
    </row>
    <row r="142" spans="1:4" ht="34.200000000000003">
      <c r="A142" s="76">
        <f t="shared" si="7"/>
        <v>252</v>
      </c>
      <c r="B142" s="67" t="s">
        <v>151</v>
      </c>
      <c r="C142" s="67" t="s">
        <v>1401</v>
      </c>
      <c r="D142" s="68" t="s">
        <v>930</v>
      </c>
    </row>
    <row r="143" spans="1:4" ht="22.8">
      <c r="A143" s="76">
        <f t="shared" si="7"/>
        <v>256</v>
      </c>
      <c r="B143" s="67" t="s">
        <v>145</v>
      </c>
      <c r="C143" s="67" t="s">
        <v>1402</v>
      </c>
      <c r="D143" s="68" t="s">
        <v>1014</v>
      </c>
    </row>
    <row r="144" spans="1:4" ht="34.200000000000003">
      <c r="A144" s="76">
        <f t="shared" si="7"/>
        <v>258</v>
      </c>
      <c r="B144" s="67" t="s">
        <v>151</v>
      </c>
      <c r="C144" s="67" t="s">
        <v>158</v>
      </c>
      <c r="D144" s="68" t="s">
        <v>930</v>
      </c>
    </row>
    <row r="145" spans="1:5" ht="34.200000000000003">
      <c r="A145" s="76">
        <f t="shared" si="7"/>
        <v>262</v>
      </c>
      <c r="B145" s="67" t="s">
        <v>151</v>
      </c>
      <c r="C145" s="67" t="s">
        <v>159</v>
      </c>
      <c r="D145" s="68" t="s">
        <v>930</v>
      </c>
    </row>
    <row r="146" spans="1:5" ht="34.200000000000003">
      <c r="A146" s="76">
        <f t="shared" si="7"/>
        <v>266</v>
      </c>
      <c r="B146" s="67" t="s">
        <v>151</v>
      </c>
      <c r="C146" s="67" t="s">
        <v>160</v>
      </c>
      <c r="D146" s="68" t="s">
        <v>930</v>
      </c>
    </row>
    <row r="147" spans="1:5" ht="22.8">
      <c r="A147" s="76">
        <f t="shared" si="7"/>
        <v>270</v>
      </c>
      <c r="B147" s="67" t="s">
        <v>151</v>
      </c>
      <c r="C147" s="67" t="s">
        <v>161</v>
      </c>
      <c r="D147" s="68" t="s">
        <v>1384</v>
      </c>
    </row>
    <row r="148" spans="1:5" ht="22.8">
      <c r="A148" s="76">
        <f t="shared" si="7"/>
        <v>274</v>
      </c>
      <c r="B148" s="67" t="s">
        <v>151</v>
      </c>
      <c r="C148" s="67" t="s">
        <v>162</v>
      </c>
      <c r="D148" s="68" t="s">
        <v>1384</v>
      </c>
    </row>
    <row r="149" spans="1:5" ht="34.200000000000003">
      <c r="A149" s="76">
        <f t="shared" si="7"/>
        <v>278</v>
      </c>
      <c r="B149" s="67" t="s">
        <v>163</v>
      </c>
      <c r="C149" s="67" t="s">
        <v>164</v>
      </c>
      <c r="D149" s="128" t="s">
        <v>1403</v>
      </c>
    </row>
    <row r="150" spans="1:5" ht="22.8">
      <c r="A150" s="76">
        <f t="shared" si="7"/>
        <v>279</v>
      </c>
      <c r="B150" s="76" t="s">
        <v>163</v>
      </c>
      <c r="C150" s="76" t="s">
        <v>187</v>
      </c>
      <c r="D150" s="84" t="s">
        <v>1404</v>
      </c>
    </row>
    <row r="151" spans="1:5" ht="34.200000000000003">
      <c r="A151" s="76">
        <f t="shared" si="7"/>
        <v>280</v>
      </c>
      <c r="B151" s="67" t="s">
        <v>163</v>
      </c>
      <c r="C151" s="67" t="s">
        <v>168</v>
      </c>
      <c r="D151" s="84" t="s">
        <v>923</v>
      </c>
    </row>
    <row r="152" spans="1:5">
      <c r="A152" s="76"/>
      <c r="C152" s="124" t="s">
        <v>183</v>
      </c>
      <c r="D152" s="91"/>
    </row>
    <row r="153" spans="1:5" ht="79.8">
      <c r="A153" s="76">
        <f>A151+B151</f>
        <v>281</v>
      </c>
      <c r="B153" s="67" t="s">
        <v>163</v>
      </c>
      <c r="C153" s="67" t="s">
        <v>184</v>
      </c>
      <c r="D153" s="126" t="s">
        <v>1382</v>
      </c>
    </row>
    <row r="154" spans="1:5" ht="34.200000000000003">
      <c r="A154" s="76">
        <f t="shared" ref="A154:A168" si="8">A153+B153</f>
        <v>282</v>
      </c>
      <c r="B154" s="76" t="s">
        <v>151</v>
      </c>
      <c r="C154" s="76" t="s">
        <v>186</v>
      </c>
      <c r="D154" s="68" t="s">
        <v>930</v>
      </c>
    </row>
    <row r="155" spans="1:5" ht="22.8">
      <c r="A155" s="76">
        <f t="shared" si="8"/>
        <v>286</v>
      </c>
      <c r="B155" s="76" t="s">
        <v>163</v>
      </c>
      <c r="C155" s="67" t="s">
        <v>187</v>
      </c>
      <c r="D155" s="128" t="s">
        <v>1405</v>
      </c>
    </row>
    <row r="156" spans="1:5" ht="45.6">
      <c r="A156" s="76">
        <f t="shared" si="8"/>
        <v>287</v>
      </c>
      <c r="B156" s="76" t="s">
        <v>163</v>
      </c>
      <c r="C156" s="76" t="s">
        <v>189</v>
      </c>
      <c r="D156" s="128" t="s">
        <v>1406</v>
      </c>
    </row>
    <row r="157" spans="1:5" ht="45.6">
      <c r="A157" s="76">
        <f t="shared" si="8"/>
        <v>288</v>
      </c>
      <c r="B157" s="76" t="s">
        <v>163</v>
      </c>
      <c r="C157" s="76" t="s">
        <v>191</v>
      </c>
      <c r="D157" s="129" t="s">
        <v>1407</v>
      </c>
    </row>
    <row r="158" spans="1:5" ht="22.8">
      <c r="A158" s="76">
        <f t="shared" si="8"/>
        <v>289</v>
      </c>
      <c r="B158" s="67" t="s">
        <v>163</v>
      </c>
      <c r="C158" s="67" t="s">
        <v>193</v>
      </c>
      <c r="D158" s="68" t="s">
        <v>966</v>
      </c>
    </row>
    <row r="159" spans="1:5" ht="22.8">
      <c r="A159" s="76">
        <f t="shared" si="8"/>
        <v>290</v>
      </c>
      <c r="B159" s="67">
        <v>3</v>
      </c>
      <c r="C159" s="67" t="s">
        <v>195</v>
      </c>
      <c r="D159" s="68" t="s">
        <v>617</v>
      </c>
      <c r="E159" s="69" t="s">
        <v>1408</v>
      </c>
    </row>
    <row r="160" spans="1:5">
      <c r="A160" s="76">
        <f t="shared" si="8"/>
        <v>293</v>
      </c>
      <c r="B160" s="76">
        <v>1</v>
      </c>
      <c r="C160" s="76" t="s">
        <v>143</v>
      </c>
      <c r="D160" s="570" t="s">
        <v>966</v>
      </c>
    </row>
    <row r="161" spans="1:4">
      <c r="A161" s="76">
        <f t="shared" si="8"/>
        <v>294</v>
      </c>
      <c r="B161" s="76" t="s">
        <v>163</v>
      </c>
      <c r="C161" s="76" t="s">
        <v>197</v>
      </c>
      <c r="D161" s="570"/>
    </row>
    <row r="162" spans="1:4">
      <c r="A162" s="76">
        <f t="shared" si="8"/>
        <v>295</v>
      </c>
      <c r="B162" s="67" t="s">
        <v>163</v>
      </c>
      <c r="C162" s="76" t="s">
        <v>1409</v>
      </c>
      <c r="D162" s="570"/>
    </row>
    <row r="163" spans="1:4">
      <c r="A163" s="76">
        <f t="shared" si="8"/>
        <v>296</v>
      </c>
      <c r="B163" s="76" t="s">
        <v>163</v>
      </c>
      <c r="C163" s="76" t="s">
        <v>1410</v>
      </c>
      <c r="D163" s="570"/>
    </row>
    <row r="164" spans="1:4">
      <c r="A164" s="76">
        <f t="shared" si="8"/>
        <v>297</v>
      </c>
      <c r="B164" s="76" t="s">
        <v>145</v>
      </c>
      <c r="C164" s="76" t="s">
        <v>282</v>
      </c>
      <c r="D164" s="570" t="s">
        <v>965</v>
      </c>
    </row>
    <row r="165" spans="1:4">
      <c r="A165" s="76">
        <f t="shared" si="8"/>
        <v>299</v>
      </c>
      <c r="B165" s="76" t="s">
        <v>145</v>
      </c>
      <c r="C165" s="67" t="s">
        <v>284</v>
      </c>
      <c r="D165" s="570"/>
    </row>
    <row r="166" spans="1:4">
      <c r="A166" s="76">
        <f t="shared" si="8"/>
        <v>301</v>
      </c>
      <c r="B166" s="67" t="s">
        <v>151</v>
      </c>
      <c r="C166" s="76" t="s">
        <v>1411</v>
      </c>
      <c r="D166" s="571" t="s">
        <v>1412</v>
      </c>
    </row>
    <row r="167" spans="1:4">
      <c r="A167" s="76">
        <f t="shared" si="8"/>
        <v>305</v>
      </c>
      <c r="B167" s="67" t="s">
        <v>151</v>
      </c>
      <c r="C167" s="76" t="s">
        <v>1413</v>
      </c>
      <c r="D167" s="571"/>
    </row>
    <row r="168" spans="1:4" ht="34.200000000000003">
      <c r="A168" s="76">
        <f t="shared" si="8"/>
        <v>309</v>
      </c>
      <c r="B168" s="67" t="s">
        <v>148</v>
      </c>
      <c r="C168" s="67" t="s">
        <v>202</v>
      </c>
      <c r="D168" s="94" t="s">
        <v>956</v>
      </c>
    </row>
    <row r="169" spans="1:4">
      <c r="A169" s="76"/>
      <c r="C169" s="124" t="s">
        <v>210</v>
      </c>
    </row>
    <row r="170" spans="1:4" ht="79.8">
      <c r="A170" s="76">
        <f>A168+B168</f>
        <v>312</v>
      </c>
      <c r="B170" s="67" t="s">
        <v>163</v>
      </c>
      <c r="C170" s="67" t="s">
        <v>184</v>
      </c>
      <c r="D170" s="126" t="s">
        <v>1414</v>
      </c>
    </row>
    <row r="171" spans="1:4" ht="34.200000000000003">
      <c r="A171" s="76">
        <f t="shared" ref="A171:A185" si="9">A170+B170</f>
        <v>313</v>
      </c>
      <c r="B171" s="76" t="s">
        <v>151</v>
      </c>
      <c r="C171" s="76" t="s">
        <v>186</v>
      </c>
      <c r="D171" s="68" t="s">
        <v>930</v>
      </c>
    </row>
    <row r="172" spans="1:4" ht="22.8">
      <c r="A172" s="76">
        <f t="shared" si="9"/>
        <v>317</v>
      </c>
      <c r="B172" s="76" t="s">
        <v>163</v>
      </c>
      <c r="C172" s="67" t="s">
        <v>187</v>
      </c>
      <c r="D172" s="128" t="s">
        <v>1405</v>
      </c>
    </row>
    <row r="173" spans="1:4" ht="45.6">
      <c r="A173" s="76">
        <f t="shared" si="9"/>
        <v>318</v>
      </c>
      <c r="B173" s="76" t="s">
        <v>163</v>
      </c>
      <c r="C173" s="76" t="s">
        <v>189</v>
      </c>
      <c r="D173" s="128" t="s">
        <v>1415</v>
      </c>
    </row>
    <row r="174" spans="1:4" ht="45.6">
      <c r="A174" s="76">
        <f t="shared" si="9"/>
        <v>319</v>
      </c>
      <c r="B174" s="76" t="s">
        <v>163</v>
      </c>
      <c r="C174" s="76" t="s">
        <v>191</v>
      </c>
      <c r="D174" s="129" t="s">
        <v>1407</v>
      </c>
    </row>
    <row r="175" spans="1:4" ht="22.8">
      <c r="A175" s="76">
        <f t="shared" si="9"/>
        <v>320</v>
      </c>
      <c r="B175" s="67" t="s">
        <v>163</v>
      </c>
      <c r="C175" s="67" t="s">
        <v>193</v>
      </c>
      <c r="D175" s="68" t="s">
        <v>966</v>
      </c>
    </row>
    <row r="176" spans="1:4" ht="22.8">
      <c r="A176" s="76">
        <f t="shared" si="9"/>
        <v>321</v>
      </c>
      <c r="B176" s="67">
        <v>3</v>
      </c>
      <c r="C176" s="67" t="s">
        <v>195</v>
      </c>
      <c r="D176" s="68" t="s">
        <v>617</v>
      </c>
    </row>
    <row r="177" spans="1:4">
      <c r="A177" s="76">
        <f t="shared" si="9"/>
        <v>324</v>
      </c>
      <c r="B177" s="76">
        <v>1</v>
      </c>
      <c r="C177" s="76" t="s">
        <v>143</v>
      </c>
      <c r="D177" s="570" t="s">
        <v>966</v>
      </c>
    </row>
    <row r="178" spans="1:4">
      <c r="A178" s="76">
        <f t="shared" si="9"/>
        <v>325</v>
      </c>
      <c r="B178" s="76" t="s">
        <v>163</v>
      </c>
      <c r="C178" s="76" t="s">
        <v>197</v>
      </c>
      <c r="D178" s="570"/>
    </row>
    <row r="179" spans="1:4">
      <c r="A179" s="76">
        <f t="shared" si="9"/>
        <v>326</v>
      </c>
      <c r="B179" s="67" t="s">
        <v>163</v>
      </c>
      <c r="C179" s="76" t="s">
        <v>1409</v>
      </c>
      <c r="D179" s="570"/>
    </row>
    <row r="180" spans="1:4">
      <c r="A180" s="76">
        <f t="shared" si="9"/>
        <v>327</v>
      </c>
      <c r="B180" s="76" t="s">
        <v>163</v>
      </c>
      <c r="C180" s="76" t="s">
        <v>1410</v>
      </c>
      <c r="D180" s="570"/>
    </row>
    <row r="181" spans="1:4">
      <c r="A181" s="76">
        <f t="shared" si="9"/>
        <v>328</v>
      </c>
      <c r="B181" s="76" t="s">
        <v>145</v>
      </c>
      <c r="C181" s="76" t="s">
        <v>282</v>
      </c>
      <c r="D181" s="570" t="s">
        <v>965</v>
      </c>
    </row>
    <row r="182" spans="1:4">
      <c r="A182" s="76">
        <f t="shared" si="9"/>
        <v>330</v>
      </c>
      <c r="B182" s="76" t="s">
        <v>145</v>
      </c>
      <c r="C182" s="67" t="s">
        <v>284</v>
      </c>
      <c r="D182" s="570"/>
    </row>
    <row r="183" spans="1:4">
      <c r="A183" s="76">
        <f t="shared" si="9"/>
        <v>332</v>
      </c>
      <c r="B183" s="67">
        <v>4</v>
      </c>
      <c r="C183" s="76" t="s">
        <v>1411</v>
      </c>
      <c r="D183" s="571" t="s">
        <v>1412</v>
      </c>
    </row>
    <row r="184" spans="1:4">
      <c r="A184" s="76">
        <f t="shared" si="9"/>
        <v>336</v>
      </c>
      <c r="B184" s="67">
        <v>4</v>
      </c>
      <c r="C184" s="76" t="s">
        <v>1413</v>
      </c>
      <c r="D184" s="571"/>
    </row>
    <row r="185" spans="1:4" ht="34.200000000000003">
      <c r="A185" s="76">
        <f t="shared" si="9"/>
        <v>340</v>
      </c>
      <c r="B185" s="67" t="s">
        <v>148</v>
      </c>
      <c r="C185" s="67" t="s">
        <v>202</v>
      </c>
      <c r="D185" s="94" t="s">
        <v>956</v>
      </c>
    </row>
    <row r="186" spans="1:4">
      <c r="A186" s="76"/>
      <c r="C186" s="130" t="s">
        <v>215</v>
      </c>
    </row>
    <row r="187" spans="1:4" ht="79.8">
      <c r="A187" s="76">
        <f>A185+B185</f>
        <v>343</v>
      </c>
      <c r="B187" s="67" t="s">
        <v>163</v>
      </c>
      <c r="C187" s="67" t="s">
        <v>184</v>
      </c>
      <c r="D187" s="126" t="s">
        <v>1382</v>
      </c>
    </row>
    <row r="188" spans="1:4" ht="34.200000000000003">
      <c r="A188" s="76">
        <f t="shared" ref="A188:A202" si="10">A187+B187</f>
        <v>344</v>
      </c>
      <c r="B188" s="76" t="s">
        <v>151</v>
      </c>
      <c r="C188" s="76" t="s">
        <v>186</v>
      </c>
      <c r="D188" s="68" t="s">
        <v>930</v>
      </c>
    </row>
    <row r="189" spans="1:4" ht="22.8">
      <c r="A189" s="76">
        <f t="shared" si="10"/>
        <v>348</v>
      </c>
      <c r="B189" s="76" t="s">
        <v>163</v>
      </c>
      <c r="C189" s="67" t="s">
        <v>187</v>
      </c>
      <c r="D189" s="128" t="s">
        <v>1405</v>
      </c>
    </row>
    <row r="190" spans="1:4" ht="45.6">
      <c r="A190" s="76">
        <f t="shared" si="10"/>
        <v>349</v>
      </c>
      <c r="B190" s="76" t="s">
        <v>163</v>
      </c>
      <c r="C190" s="76" t="s">
        <v>189</v>
      </c>
      <c r="D190" s="128" t="s">
        <v>1416</v>
      </c>
    </row>
    <row r="191" spans="1:4" ht="45.6">
      <c r="A191" s="76">
        <f t="shared" si="10"/>
        <v>350</v>
      </c>
      <c r="B191" s="76" t="s">
        <v>163</v>
      </c>
      <c r="C191" s="76" t="s">
        <v>191</v>
      </c>
      <c r="D191" s="129" t="s">
        <v>1407</v>
      </c>
    </row>
    <row r="192" spans="1:4" ht="22.8">
      <c r="A192" s="76">
        <f t="shared" si="10"/>
        <v>351</v>
      </c>
      <c r="B192" s="67" t="s">
        <v>163</v>
      </c>
      <c r="C192" s="67" t="s">
        <v>193</v>
      </c>
      <c r="D192" s="68" t="s">
        <v>966</v>
      </c>
    </row>
    <row r="193" spans="1:4" ht="22.8">
      <c r="A193" s="76">
        <f t="shared" si="10"/>
        <v>352</v>
      </c>
      <c r="B193" s="67">
        <v>3</v>
      </c>
      <c r="C193" s="67" t="s">
        <v>195</v>
      </c>
      <c r="D193" s="68" t="s">
        <v>617</v>
      </c>
    </row>
    <row r="194" spans="1:4">
      <c r="A194" s="76">
        <f t="shared" si="10"/>
        <v>355</v>
      </c>
      <c r="B194" s="76">
        <v>1</v>
      </c>
      <c r="C194" s="76" t="s">
        <v>143</v>
      </c>
      <c r="D194" s="570" t="s">
        <v>966</v>
      </c>
    </row>
    <row r="195" spans="1:4">
      <c r="A195" s="76">
        <f t="shared" si="10"/>
        <v>356</v>
      </c>
      <c r="B195" s="76" t="s">
        <v>163</v>
      </c>
      <c r="C195" s="76" t="s">
        <v>197</v>
      </c>
      <c r="D195" s="570"/>
    </row>
    <row r="196" spans="1:4">
      <c r="A196" s="76">
        <f t="shared" si="10"/>
        <v>357</v>
      </c>
      <c r="B196" s="67" t="s">
        <v>163</v>
      </c>
      <c r="C196" s="76" t="s">
        <v>1409</v>
      </c>
      <c r="D196" s="570"/>
    </row>
    <row r="197" spans="1:4">
      <c r="A197" s="76">
        <f t="shared" si="10"/>
        <v>358</v>
      </c>
      <c r="B197" s="76" t="s">
        <v>163</v>
      </c>
      <c r="C197" s="76" t="s">
        <v>1410</v>
      </c>
      <c r="D197" s="570"/>
    </row>
    <row r="198" spans="1:4">
      <c r="A198" s="76">
        <f t="shared" si="10"/>
        <v>359</v>
      </c>
      <c r="B198" s="76" t="s">
        <v>145</v>
      </c>
      <c r="C198" s="76" t="s">
        <v>282</v>
      </c>
      <c r="D198" s="570" t="s">
        <v>965</v>
      </c>
    </row>
    <row r="199" spans="1:4">
      <c r="A199" s="76">
        <f t="shared" si="10"/>
        <v>361</v>
      </c>
      <c r="B199" s="76" t="s">
        <v>145</v>
      </c>
      <c r="C199" s="67" t="s">
        <v>284</v>
      </c>
      <c r="D199" s="570"/>
    </row>
    <row r="200" spans="1:4">
      <c r="A200" s="76">
        <f t="shared" si="10"/>
        <v>363</v>
      </c>
      <c r="B200" s="67">
        <v>4</v>
      </c>
      <c r="C200" s="76" t="s">
        <v>1411</v>
      </c>
      <c r="D200" s="571" t="s">
        <v>1417</v>
      </c>
    </row>
    <row r="201" spans="1:4">
      <c r="A201" s="76">
        <f t="shared" si="10"/>
        <v>367</v>
      </c>
      <c r="B201" s="67">
        <v>4</v>
      </c>
      <c r="C201" s="76" t="s">
        <v>1413</v>
      </c>
      <c r="D201" s="571"/>
    </row>
    <row r="202" spans="1:4" ht="34.200000000000003">
      <c r="A202" s="76">
        <f t="shared" si="10"/>
        <v>371</v>
      </c>
      <c r="B202" s="67" t="s">
        <v>148</v>
      </c>
      <c r="C202" s="67" t="s">
        <v>202</v>
      </c>
      <c r="D202" s="94" t="s">
        <v>956</v>
      </c>
    </row>
    <row r="203" spans="1:4">
      <c r="A203" s="76"/>
      <c r="C203" s="130" t="s">
        <v>301</v>
      </c>
    </row>
    <row r="204" spans="1:4">
      <c r="A204" s="76">
        <f>A202+B202</f>
        <v>374</v>
      </c>
      <c r="B204" s="67" t="s">
        <v>163</v>
      </c>
      <c r="C204" s="67" t="s">
        <v>302</v>
      </c>
      <c r="D204" s="570" t="s">
        <v>955</v>
      </c>
    </row>
    <row r="205" spans="1:4">
      <c r="A205" s="76">
        <f t="shared" ref="A205:A215" si="11">A204+B204</f>
        <v>375</v>
      </c>
      <c r="B205" s="67" t="s">
        <v>163</v>
      </c>
      <c r="C205" s="67" t="s">
        <v>303</v>
      </c>
      <c r="D205" s="570"/>
    </row>
    <row r="206" spans="1:4">
      <c r="A206" s="76">
        <f t="shared" si="11"/>
        <v>376</v>
      </c>
      <c r="B206" s="67" t="s">
        <v>163</v>
      </c>
      <c r="C206" s="67" t="s">
        <v>304</v>
      </c>
      <c r="D206" s="570"/>
    </row>
    <row r="207" spans="1:4">
      <c r="A207" s="76">
        <f t="shared" si="11"/>
        <v>377</v>
      </c>
      <c r="B207" s="67" t="s">
        <v>163</v>
      </c>
      <c r="C207" s="67" t="s">
        <v>305</v>
      </c>
      <c r="D207" s="570"/>
    </row>
    <row r="208" spans="1:4">
      <c r="A208" s="76">
        <f t="shared" si="11"/>
        <v>378</v>
      </c>
      <c r="B208" s="67" t="s">
        <v>163</v>
      </c>
      <c r="C208" s="67" t="s">
        <v>306</v>
      </c>
      <c r="D208" s="570"/>
    </row>
    <row r="209" spans="1:4">
      <c r="A209" s="76">
        <f t="shared" si="11"/>
        <v>379</v>
      </c>
      <c r="B209" s="67" t="s">
        <v>163</v>
      </c>
      <c r="C209" s="67" t="s">
        <v>307</v>
      </c>
      <c r="D209" s="570"/>
    </row>
    <row r="210" spans="1:4">
      <c r="A210" s="76">
        <f t="shared" si="11"/>
        <v>380</v>
      </c>
      <c r="B210" s="67" t="s">
        <v>163</v>
      </c>
      <c r="C210" s="67" t="s">
        <v>308</v>
      </c>
      <c r="D210" s="570"/>
    </row>
    <row r="211" spans="1:4">
      <c r="A211" s="76">
        <f t="shared" si="11"/>
        <v>381</v>
      </c>
      <c r="B211" s="67" t="s">
        <v>163</v>
      </c>
      <c r="C211" s="67" t="s">
        <v>310</v>
      </c>
      <c r="D211" s="570"/>
    </row>
    <row r="212" spans="1:4">
      <c r="A212" s="76">
        <f t="shared" si="11"/>
        <v>382</v>
      </c>
      <c r="B212" s="67" t="s">
        <v>163</v>
      </c>
      <c r="C212" s="67" t="s">
        <v>311</v>
      </c>
      <c r="D212" s="570"/>
    </row>
    <row r="213" spans="1:4">
      <c r="A213" s="76">
        <f t="shared" si="11"/>
        <v>383</v>
      </c>
      <c r="B213" s="67" t="s">
        <v>163</v>
      </c>
      <c r="C213" s="67" t="s">
        <v>312</v>
      </c>
      <c r="D213" s="570"/>
    </row>
    <row r="214" spans="1:4">
      <c r="A214" s="76">
        <f t="shared" si="11"/>
        <v>384</v>
      </c>
      <c r="B214" s="67" t="s">
        <v>163</v>
      </c>
      <c r="C214" s="67" t="s">
        <v>314</v>
      </c>
      <c r="D214" s="570"/>
    </row>
    <row r="215" spans="1:4">
      <c r="A215" s="76">
        <f t="shared" si="11"/>
        <v>385</v>
      </c>
      <c r="B215" s="67" t="s">
        <v>163</v>
      </c>
      <c r="C215" s="67" t="s">
        <v>1418</v>
      </c>
      <c r="D215" s="570"/>
    </row>
    <row r="216" spans="1:4">
      <c r="A216" s="76"/>
      <c r="C216" s="130" t="s">
        <v>320</v>
      </c>
    </row>
    <row r="217" spans="1:4">
      <c r="A217" s="76">
        <f>A215+B215</f>
        <v>386</v>
      </c>
      <c r="B217" s="67" t="s">
        <v>163</v>
      </c>
      <c r="C217" s="67" t="s">
        <v>302</v>
      </c>
      <c r="D217" s="570" t="s">
        <v>955</v>
      </c>
    </row>
    <row r="218" spans="1:4">
      <c r="A218" s="76">
        <f t="shared" ref="A218:A228" si="12">A217+B217</f>
        <v>387</v>
      </c>
      <c r="B218" s="67" t="s">
        <v>163</v>
      </c>
      <c r="C218" s="67" t="s">
        <v>303</v>
      </c>
      <c r="D218" s="570"/>
    </row>
    <row r="219" spans="1:4">
      <c r="A219" s="76">
        <f t="shared" si="12"/>
        <v>388</v>
      </c>
      <c r="B219" s="67" t="s">
        <v>163</v>
      </c>
      <c r="C219" s="67" t="s">
        <v>304</v>
      </c>
      <c r="D219" s="570"/>
    </row>
    <row r="220" spans="1:4">
      <c r="A220" s="76">
        <f t="shared" si="12"/>
        <v>389</v>
      </c>
      <c r="B220" s="67" t="s">
        <v>163</v>
      </c>
      <c r="C220" s="67" t="s">
        <v>305</v>
      </c>
      <c r="D220" s="570"/>
    </row>
    <row r="221" spans="1:4">
      <c r="A221" s="76">
        <f t="shared" si="12"/>
        <v>390</v>
      </c>
      <c r="B221" s="67" t="s">
        <v>163</v>
      </c>
      <c r="C221" s="67" t="s">
        <v>306</v>
      </c>
      <c r="D221" s="570"/>
    </row>
    <row r="222" spans="1:4">
      <c r="A222" s="76">
        <f t="shared" si="12"/>
        <v>391</v>
      </c>
      <c r="B222" s="67" t="s">
        <v>163</v>
      </c>
      <c r="C222" s="67" t="s">
        <v>307</v>
      </c>
      <c r="D222" s="570"/>
    </row>
    <row r="223" spans="1:4">
      <c r="A223" s="76">
        <f t="shared" si="12"/>
        <v>392</v>
      </c>
      <c r="B223" s="67" t="s">
        <v>163</v>
      </c>
      <c r="C223" s="67" t="s">
        <v>308</v>
      </c>
      <c r="D223" s="570"/>
    </row>
    <row r="224" spans="1:4">
      <c r="A224" s="76">
        <f t="shared" si="12"/>
        <v>393</v>
      </c>
      <c r="B224" s="67" t="s">
        <v>163</v>
      </c>
      <c r="C224" s="67" t="s">
        <v>310</v>
      </c>
      <c r="D224" s="570"/>
    </row>
    <row r="225" spans="1:4">
      <c r="A225" s="76">
        <f t="shared" si="12"/>
        <v>394</v>
      </c>
      <c r="B225" s="67" t="s">
        <v>163</v>
      </c>
      <c r="C225" s="67" t="s">
        <v>311</v>
      </c>
      <c r="D225" s="570"/>
    </row>
    <row r="226" spans="1:4">
      <c r="A226" s="76">
        <f t="shared" si="12"/>
        <v>395</v>
      </c>
      <c r="B226" s="67" t="s">
        <v>163</v>
      </c>
      <c r="C226" s="67" t="s">
        <v>312</v>
      </c>
      <c r="D226" s="570"/>
    </row>
    <row r="227" spans="1:4">
      <c r="A227" s="76">
        <f t="shared" si="12"/>
        <v>396</v>
      </c>
      <c r="B227" s="67" t="s">
        <v>163</v>
      </c>
      <c r="C227" s="67" t="s">
        <v>314</v>
      </c>
      <c r="D227" s="570"/>
    </row>
    <row r="228" spans="1:4">
      <c r="A228" s="76">
        <f t="shared" si="12"/>
        <v>397</v>
      </c>
      <c r="B228" s="67" t="s">
        <v>163</v>
      </c>
      <c r="C228" s="67" t="s">
        <v>1418</v>
      </c>
      <c r="D228" s="570"/>
    </row>
    <row r="229" spans="1:4">
      <c r="A229" s="76"/>
      <c r="C229" s="130" t="s">
        <v>321</v>
      </c>
    </row>
    <row r="230" spans="1:4">
      <c r="A230" s="76">
        <f>A228+B228</f>
        <v>398</v>
      </c>
      <c r="B230" s="67" t="s">
        <v>163</v>
      </c>
      <c r="C230" s="67" t="s">
        <v>302</v>
      </c>
      <c r="D230" s="570" t="s">
        <v>955</v>
      </c>
    </row>
    <row r="231" spans="1:4">
      <c r="A231" s="76">
        <f t="shared" ref="A231:A241" si="13">A230+B230</f>
        <v>399</v>
      </c>
      <c r="B231" s="67" t="s">
        <v>163</v>
      </c>
      <c r="C231" s="67" t="s">
        <v>303</v>
      </c>
      <c r="D231" s="570"/>
    </row>
    <row r="232" spans="1:4">
      <c r="A232" s="76">
        <f t="shared" si="13"/>
        <v>400</v>
      </c>
      <c r="B232" s="67" t="s">
        <v>163</v>
      </c>
      <c r="C232" s="67" t="s">
        <v>304</v>
      </c>
      <c r="D232" s="570"/>
    </row>
    <row r="233" spans="1:4">
      <c r="A233" s="76">
        <f t="shared" si="13"/>
        <v>401</v>
      </c>
      <c r="B233" s="67" t="s">
        <v>163</v>
      </c>
      <c r="C233" s="67" t="s">
        <v>305</v>
      </c>
      <c r="D233" s="570"/>
    </row>
    <row r="234" spans="1:4">
      <c r="A234" s="76">
        <f t="shared" si="13"/>
        <v>402</v>
      </c>
      <c r="B234" s="67" t="s">
        <v>163</v>
      </c>
      <c r="C234" s="67" t="s">
        <v>306</v>
      </c>
      <c r="D234" s="570"/>
    </row>
    <row r="235" spans="1:4">
      <c r="A235" s="76">
        <f t="shared" si="13"/>
        <v>403</v>
      </c>
      <c r="B235" s="67" t="s">
        <v>163</v>
      </c>
      <c r="C235" s="67" t="s">
        <v>307</v>
      </c>
      <c r="D235" s="570"/>
    </row>
    <row r="236" spans="1:4">
      <c r="A236" s="76">
        <f t="shared" si="13"/>
        <v>404</v>
      </c>
      <c r="B236" s="67" t="s">
        <v>163</v>
      </c>
      <c r="C236" s="67" t="s">
        <v>308</v>
      </c>
      <c r="D236" s="570"/>
    </row>
    <row r="237" spans="1:4">
      <c r="A237" s="76">
        <f t="shared" si="13"/>
        <v>405</v>
      </c>
      <c r="B237" s="67" t="s">
        <v>163</v>
      </c>
      <c r="C237" s="67" t="s">
        <v>310</v>
      </c>
      <c r="D237" s="570"/>
    </row>
    <row r="238" spans="1:4">
      <c r="A238" s="76">
        <f t="shared" si="13"/>
        <v>406</v>
      </c>
      <c r="B238" s="67" t="s">
        <v>163</v>
      </c>
      <c r="C238" s="67" t="s">
        <v>311</v>
      </c>
      <c r="D238" s="570"/>
    </row>
    <row r="239" spans="1:4">
      <c r="A239" s="76">
        <f t="shared" si="13"/>
        <v>407</v>
      </c>
      <c r="B239" s="67" t="s">
        <v>163</v>
      </c>
      <c r="C239" s="67" t="s">
        <v>312</v>
      </c>
      <c r="D239" s="570"/>
    </row>
    <row r="240" spans="1:4">
      <c r="A240" s="76">
        <f t="shared" si="13"/>
        <v>408</v>
      </c>
      <c r="B240" s="67" t="s">
        <v>163</v>
      </c>
      <c r="C240" s="67" t="s">
        <v>314</v>
      </c>
      <c r="D240" s="570"/>
    </row>
    <row r="241" spans="1:4">
      <c r="A241" s="76">
        <f t="shared" si="13"/>
        <v>409</v>
      </c>
      <c r="B241" s="67" t="s">
        <v>163</v>
      </c>
      <c r="C241" s="67" t="s">
        <v>1418</v>
      </c>
      <c r="D241" s="570"/>
    </row>
    <row r="242" spans="1:4">
      <c r="A242" s="76"/>
      <c r="C242" s="130" t="s">
        <v>248</v>
      </c>
    </row>
    <row r="243" spans="1:4">
      <c r="A243" s="76">
        <f>A241+B241</f>
        <v>410</v>
      </c>
      <c r="B243" s="67" t="s">
        <v>163</v>
      </c>
      <c r="C243" s="67" t="s">
        <v>972</v>
      </c>
      <c r="D243" s="570" t="s">
        <v>929</v>
      </c>
    </row>
    <row r="244" spans="1:4">
      <c r="A244" s="76">
        <f t="shared" ref="A244:A249" si="14">A243+B243</f>
        <v>411</v>
      </c>
      <c r="B244" s="67" t="s">
        <v>163</v>
      </c>
      <c r="C244" s="67" t="s">
        <v>973</v>
      </c>
      <c r="D244" s="570"/>
    </row>
    <row r="245" spans="1:4">
      <c r="A245" s="76">
        <f t="shared" si="14"/>
        <v>412</v>
      </c>
      <c r="B245" s="67" t="s">
        <v>163</v>
      </c>
      <c r="C245" s="67" t="s">
        <v>252</v>
      </c>
      <c r="D245" s="570"/>
    </row>
    <row r="246" spans="1:4">
      <c r="A246" s="76"/>
      <c r="C246" s="130" t="s">
        <v>253</v>
      </c>
    </row>
    <row r="247" spans="1:4">
      <c r="A247" s="76">
        <f>A245+B245</f>
        <v>413</v>
      </c>
      <c r="B247" s="67" t="s">
        <v>163</v>
      </c>
      <c r="C247" s="67" t="s">
        <v>972</v>
      </c>
      <c r="D247" s="570" t="s">
        <v>929</v>
      </c>
    </row>
    <row r="248" spans="1:4">
      <c r="A248" s="76">
        <f t="shared" si="14"/>
        <v>414</v>
      </c>
      <c r="B248" s="67" t="s">
        <v>163</v>
      </c>
      <c r="C248" s="67" t="s">
        <v>973</v>
      </c>
      <c r="D248" s="570"/>
    </row>
    <row r="249" spans="1:4">
      <c r="A249" s="76">
        <f t="shared" si="14"/>
        <v>415</v>
      </c>
      <c r="B249" s="67" t="s">
        <v>163</v>
      </c>
      <c r="C249" s="67" t="s">
        <v>252</v>
      </c>
      <c r="D249" s="570"/>
    </row>
    <row r="250" spans="1:4">
      <c r="A250" s="76"/>
      <c r="C250" s="130" t="s">
        <v>256</v>
      </c>
    </row>
    <row r="251" spans="1:4">
      <c r="A251" s="76">
        <f>A249+B249</f>
        <v>416</v>
      </c>
      <c r="B251" s="67" t="s">
        <v>163</v>
      </c>
      <c r="C251" s="67" t="s">
        <v>972</v>
      </c>
      <c r="D251" s="570" t="s">
        <v>929</v>
      </c>
    </row>
    <row r="252" spans="1:4">
      <c r="A252" s="76">
        <f>A251+B251</f>
        <v>417</v>
      </c>
      <c r="B252" s="67" t="s">
        <v>163</v>
      </c>
      <c r="C252" s="67" t="s">
        <v>973</v>
      </c>
      <c r="D252" s="570"/>
    </row>
    <row r="253" spans="1:4">
      <c r="A253" s="76">
        <f>A252+B252</f>
        <v>418</v>
      </c>
      <c r="B253" s="67" t="s">
        <v>163</v>
      </c>
      <c r="C253" s="67" t="s">
        <v>252</v>
      </c>
      <c r="D253" s="570"/>
    </row>
    <row r="254" spans="1:4">
      <c r="A254" s="76"/>
      <c r="C254" s="130" t="s">
        <v>172</v>
      </c>
    </row>
    <row r="255" spans="1:4">
      <c r="A255" s="76">
        <f>A253+B253</f>
        <v>419</v>
      </c>
      <c r="B255" s="67" t="s">
        <v>163</v>
      </c>
      <c r="C255" s="67" t="s">
        <v>1419</v>
      </c>
      <c r="D255" s="570" t="s">
        <v>955</v>
      </c>
    </row>
    <row r="256" spans="1:4">
      <c r="A256" s="76">
        <f t="shared" ref="A256:A319" si="15">A255+B255</f>
        <v>420</v>
      </c>
      <c r="B256" s="67" t="s">
        <v>163</v>
      </c>
      <c r="C256" s="67" t="s">
        <v>1420</v>
      </c>
      <c r="D256" s="570"/>
    </row>
    <row r="257" spans="1:5">
      <c r="A257" s="76">
        <f t="shared" si="15"/>
        <v>421</v>
      </c>
      <c r="B257" s="67" t="s">
        <v>163</v>
      </c>
      <c r="C257" s="67" t="s">
        <v>1421</v>
      </c>
      <c r="D257" s="570"/>
    </row>
    <row r="258" spans="1:5">
      <c r="A258" s="76">
        <f t="shared" si="15"/>
        <v>422</v>
      </c>
      <c r="B258" s="67" t="s">
        <v>163</v>
      </c>
      <c r="C258" s="67" t="s">
        <v>784</v>
      </c>
      <c r="D258" s="570"/>
    </row>
    <row r="259" spans="1:5">
      <c r="A259" s="76">
        <f t="shared" si="15"/>
        <v>423</v>
      </c>
      <c r="B259" s="67" t="s">
        <v>163</v>
      </c>
      <c r="C259" s="67" t="s">
        <v>792</v>
      </c>
      <c r="D259" s="570"/>
    </row>
    <row r="260" spans="1:5" ht="22.8">
      <c r="A260" s="76">
        <f t="shared" si="15"/>
        <v>424</v>
      </c>
      <c r="B260" s="131">
        <v>2</v>
      </c>
      <c r="C260" s="132" t="s">
        <v>1422</v>
      </c>
      <c r="D260" s="68" t="s">
        <v>1017</v>
      </c>
      <c r="E260" s="133"/>
    </row>
    <row r="261" spans="1:5" ht="22.8">
      <c r="A261" s="76">
        <f t="shared" si="15"/>
        <v>426</v>
      </c>
      <c r="B261" s="131">
        <v>2</v>
      </c>
      <c r="C261" s="132" t="s">
        <v>1423</v>
      </c>
      <c r="D261" s="68" t="s">
        <v>1017</v>
      </c>
      <c r="E261" s="133"/>
    </row>
    <row r="262" spans="1:5" ht="22.8">
      <c r="A262" s="76">
        <f t="shared" si="15"/>
        <v>428</v>
      </c>
      <c r="B262" s="131">
        <v>2</v>
      </c>
      <c r="C262" s="132" t="s">
        <v>1424</v>
      </c>
      <c r="D262" s="68" t="s">
        <v>1017</v>
      </c>
      <c r="E262" s="133"/>
    </row>
    <row r="263" spans="1:5">
      <c r="A263" s="76">
        <f t="shared" si="15"/>
        <v>430</v>
      </c>
      <c r="B263" s="42">
        <v>5</v>
      </c>
      <c r="C263" s="132" t="s">
        <v>510</v>
      </c>
      <c r="D263" s="42" t="s">
        <v>347</v>
      </c>
      <c r="E263" s="44"/>
    </row>
    <row r="264" spans="1:5">
      <c r="A264" s="76">
        <f t="shared" si="15"/>
        <v>435</v>
      </c>
      <c r="C264" s="130" t="s">
        <v>366</v>
      </c>
    </row>
    <row r="265" spans="1:5" ht="52.8">
      <c r="A265" s="76">
        <f t="shared" si="15"/>
        <v>435</v>
      </c>
      <c r="B265" s="76" t="s">
        <v>163</v>
      </c>
      <c r="C265" s="76" t="s">
        <v>367</v>
      </c>
      <c r="D265" s="134" t="s">
        <v>730</v>
      </c>
      <c r="E265" s="69">
        <v>0</v>
      </c>
    </row>
    <row r="266" spans="1:5" ht="22.8">
      <c r="A266" s="76">
        <f t="shared" si="15"/>
        <v>436</v>
      </c>
      <c r="B266" s="76" t="s">
        <v>163</v>
      </c>
      <c r="C266" s="76" t="s">
        <v>369</v>
      </c>
      <c r="D266" s="68" t="s">
        <v>966</v>
      </c>
      <c r="E266" s="69">
        <f>B265+E265</f>
        <v>1</v>
      </c>
    </row>
    <row r="267" spans="1:5" ht="22.8">
      <c r="A267" s="76">
        <f t="shared" si="15"/>
        <v>437</v>
      </c>
      <c r="B267" s="76" t="s">
        <v>145</v>
      </c>
      <c r="C267" s="76" t="s">
        <v>370</v>
      </c>
      <c r="D267" s="68" t="s">
        <v>1012</v>
      </c>
      <c r="E267" s="69">
        <f>B266+E266</f>
        <v>2</v>
      </c>
    </row>
    <row r="268" spans="1:5" ht="22.8">
      <c r="A268" s="76">
        <f t="shared" si="15"/>
        <v>439</v>
      </c>
      <c r="B268" s="67" t="s">
        <v>145</v>
      </c>
      <c r="C268" s="76" t="s">
        <v>373</v>
      </c>
      <c r="D268" s="68" t="s">
        <v>1014</v>
      </c>
      <c r="E268" s="69">
        <f t="shared" ref="E268:E296" si="16">B267+E267</f>
        <v>4</v>
      </c>
    </row>
    <row r="269" spans="1:5" ht="91.2">
      <c r="A269" s="76">
        <f t="shared" si="15"/>
        <v>441</v>
      </c>
      <c r="B269" s="76" t="s">
        <v>148</v>
      </c>
      <c r="C269" s="76" t="s">
        <v>375</v>
      </c>
      <c r="D269" s="68" t="s">
        <v>1013</v>
      </c>
      <c r="E269" s="69">
        <f t="shared" si="16"/>
        <v>6</v>
      </c>
    </row>
    <row r="270" spans="1:5" ht="102.6">
      <c r="A270" s="76">
        <f t="shared" si="15"/>
        <v>444</v>
      </c>
      <c r="B270" s="76" t="s">
        <v>151</v>
      </c>
      <c r="C270" s="76" t="s">
        <v>377</v>
      </c>
      <c r="D270" s="114" t="s">
        <v>964</v>
      </c>
      <c r="E270" s="69">
        <f t="shared" si="16"/>
        <v>9</v>
      </c>
    </row>
    <row r="271" spans="1:5" ht="114">
      <c r="A271" s="76">
        <f t="shared" si="15"/>
        <v>448</v>
      </c>
      <c r="B271" s="76" t="s">
        <v>151</v>
      </c>
      <c r="C271" s="76" t="s">
        <v>379</v>
      </c>
      <c r="D271" s="114" t="s">
        <v>963</v>
      </c>
      <c r="E271" s="69">
        <f t="shared" si="16"/>
        <v>13</v>
      </c>
    </row>
    <row r="272" spans="1:5" ht="182.4">
      <c r="A272" s="76">
        <f t="shared" si="15"/>
        <v>452</v>
      </c>
      <c r="B272" s="76" t="s">
        <v>163</v>
      </c>
      <c r="C272" s="76" t="s">
        <v>380</v>
      </c>
      <c r="D272" s="114" t="s">
        <v>1387</v>
      </c>
      <c r="E272" s="69">
        <f t="shared" si="16"/>
        <v>17</v>
      </c>
    </row>
    <row r="273" spans="1:5" ht="118.8">
      <c r="A273" s="76">
        <f t="shared" si="15"/>
        <v>453</v>
      </c>
      <c r="B273" s="76" t="s">
        <v>163</v>
      </c>
      <c r="C273" s="76" t="s">
        <v>383</v>
      </c>
      <c r="D273" s="46" t="s">
        <v>384</v>
      </c>
      <c r="E273" s="69">
        <f t="shared" si="16"/>
        <v>18</v>
      </c>
    </row>
    <row r="274" spans="1:5">
      <c r="A274" s="76">
        <f t="shared" si="15"/>
        <v>454</v>
      </c>
      <c r="B274" s="76" t="s">
        <v>151</v>
      </c>
      <c r="C274" s="76" t="s">
        <v>386</v>
      </c>
      <c r="D274" s="568" t="s">
        <v>963</v>
      </c>
      <c r="E274" s="69">
        <f t="shared" si="16"/>
        <v>19</v>
      </c>
    </row>
    <row r="275" spans="1:5">
      <c r="A275" s="76">
        <f t="shared" si="15"/>
        <v>458</v>
      </c>
      <c r="B275" s="76" t="s">
        <v>151</v>
      </c>
      <c r="C275" s="76" t="s">
        <v>387</v>
      </c>
      <c r="D275" s="568"/>
      <c r="E275" s="69">
        <f t="shared" si="16"/>
        <v>23</v>
      </c>
    </row>
    <row r="276" spans="1:5" ht="22.8">
      <c r="A276" s="76">
        <f t="shared" si="15"/>
        <v>462</v>
      </c>
      <c r="B276" s="67" t="s">
        <v>163</v>
      </c>
      <c r="C276" s="67" t="s">
        <v>388</v>
      </c>
      <c r="D276" s="68" t="s">
        <v>955</v>
      </c>
      <c r="E276" s="69">
        <f t="shared" si="16"/>
        <v>27</v>
      </c>
    </row>
    <row r="277" spans="1:5">
      <c r="A277" s="76">
        <f t="shared" si="15"/>
        <v>463</v>
      </c>
      <c r="B277" s="135" t="s">
        <v>163</v>
      </c>
      <c r="C277" s="76" t="s">
        <v>389</v>
      </c>
      <c r="D277" s="570" t="s">
        <v>739</v>
      </c>
      <c r="E277" s="69">
        <f t="shared" si="16"/>
        <v>28</v>
      </c>
    </row>
    <row r="278" spans="1:5">
      <c r="A278" s="76">
        <f t="shared" si="15"/>
        <v>464</v>
      </c>
      <c r="B278" s="67" t="s">
        <v>163</v>
      </c>
      <c r="C278" s="76" t="s">
        <v>391</v>
      </c>
      <c r="D278" s="570"/>
      <c r="E278" s="69">
        <f t="shared" si="16"/>
        <v>29</v>
      </c>
    </row>
    <row r="279" spans="1:5" ht="22.8">
      <c r="A279" s="76">
        <f t="shared" si="15"/>
        <v>465</v>
      </c>
      <c r="B279" s="67" t="s">
        <v>145</v>
      </c>
      <c r="C279" s="76" t="s">
        <v>392</v>
      </c>
      <c r="D279" s="68" t="s">
        <v>733</v>
      </c>
      <c r="E279" s="69">
        <f t="shared" si="16"/>
        <v>30</v>
      </c>
    </row>
    <row r="280" spans="1:5" ht="22.8">
      <c r="A280" s="76">
        <f t="shared" si="15"/>
        <v>467</v>
      </c>
      <c r="B280" s="67" t="s">
        <v>163</v>
      </c>
      <c r="C280" s="67" t="s">
        <v>394</v>
      </c>
      <c r="D280" s="68" t="s">
        <v>966</v>
      </c>
      <c r="E280" s="69">
        <f t="shared" si="16"/>
        <v>32</v>
      </c>
    </row>
    <row r="281" spans="1:5" ht="22.8">
      <c r="A281" s="76">
        <f t="shared" si="15"/>
        <v>468</v>
      </c>
      <c r="B281" s="67" t="s">
        <v>163</v>
      </c>
      <c r="C281" s="67" t="s">
        <v>395</v>
      </c>
      <c r="D281" s="68" t="s">
        <v>1016</v>
      </c>
      <c r="E281" s="69">
        <f t="shared" si="16"/>
        <v>33</v>
      </c>
    </row>
    <row r="282" spans="1:5" ht="22.8">
      <c r="A282" s="76">
        <f t="shared" si="15"/>
        <v>469</v>
      </c>
      <c r="B282" s="67" t="s">
        <v>163</v>
      </c>
      <c r="C282" s="67" t="s">
        <v>397</v>
      </c>
      <c r="D282" s="68" t="s">
        <v>966</v>
      </c>
      <c r="E282" s="69">
        <f t="shared" si="16"/>
        <v>34</v>
      </c>
    </row>
    <row r="283" spans="1:5" ht="118.8">
      <c r="A283" s="76">
        <f t="shared" si="15"/>
        <v>470</v>
      </c>
      <c r="B283" s="76">
        <v>5</v>
      </c>
      <c r="C283" s="76" t="s">
        <v>398</v>
      </c>
      <c r="D283" s="134" t="s">
        <v>745</v>
      </c>
      <c r="E283" s="69">
        <f t="shared" si="16"/>
        <v>35</v>
      </c>
    </row>
    <row r="284" spans="1:5" ht="114">
      <c r="A284" s="76">
        <f t="shared" si="15"/>
        <v>475</v>
      </c>
      <c r="B284" s="76">
        <v>4</v>
      </c>
      <c r="C284" s="67" t="s">
        <v>400</v>
      </c>
      <c r="D284" s="68" t="s">
        <v>1015</v>
      </c>
      <c r="E284" s="69">
        <f t="shared" si="16"/>
        <v>40</v>
      </c>
    </row>
    <row r="285" spans="1:5">
      <c r="A285" s="76">
        <f t="shared" si="15"/>
        <v>479</v>
      </c>
      <c r="B285" s="67">
        <v>1</v>
      </c>
      <c r="C285" s="136" t="s">
        <v>402</v>
      </c>
      <c r="D285" s="570" t="s">
        <v>739</v>
      </c>
      <c r="E285" s="69">
        <f t="shared" si="16"/>
        <v>44</v>
      </c>
    </row>
    <row r="286" spans="1:5">
      <c r="A286" s="76">
        <f t="shared" si="15"/>
        <v>480</v>
      </c>
      <c r="B286" s="131">
        <v>1</v>
      </c>
      <c r="C286" s="132" t="s">
        <v>404</v>
      </c>
      <c r="D286" s="570"/>
      <c r="E286" s="69">
        <f t="shared" si="16"/>
        <v>45</v>
      </c>
    </row>
    <row r="287" spans="1:5" ht="22.8">
      <c r="A287" s="76">
        <f t="shared" si="15"/>
        <v>481</v>
      </c>
      <c r="B287" s="131">
        <v>1</v>
      </c>
      <c r="C287" s="132" t="s">
        <v>405</v>
      </c>
      <c r="D287" s="68" t="s">
        <v>966</v>
      </c>
      <c r="E287" s="69">
        <f t="shared" si="16"/>
        <v>46</v>
      </c>
    </row>
    <row r="288" spans="1:5" ht="22.8">
      <c r="A288" s="76">
        <f t="shared" si="15"/>
        <v>482</v>
      </c>
      <c r="B288" s="131">
        <v>2</v>
      </c>
      <c r="C288" s="132" t="s">
        <v>406</v>
      </c>
      <c r="D288" s="68" t="s">
        <v>1017</v>
      </c>
      <c r="E288" s="69">
        <f t="shared" si="16"/>
        <v>47</v>
      </c>
    </row>
    <row r="289" spans="1:5" ht="26.4">
      <c r="A289" s="76">
        <f t="shared" si="15"/>
        <v>484</v>
      </c>
      <c r="B289" s="42">
        <v>1</v>
      </c>
      <c r="C289" s="132" t="s">
        <v>407</v>
      </c>
      <c r="D289" s="137" t="s">
        <v>753</v>
      </c>
      <c r="E289" s="69">
        <f t="shared" si="16"/>
        <v>49</v>
      </c>
    </row>
    <row r="290" spans="1:5" ht="26.4">
      <c r="A290" s="76">
        <f t="shared" si="15"/>
        <v>485</v>
      </c>
      <c r="B290" s="42">
        <v>1</v>
      </c>
      <c r="C290" s="132" t="s">
        <v>409</v>
      </c>
      <c r="D290" s="137" t="s">
        <v>753</v>
      </c>
      <c r="E290" s="69">
        <f t="shared" si="16"/>
        <v>50</v>
      </c>
    </row>
    <row r="291" spans="1:5" ht="26.4">
      <c r="A291" s="76">
        <f t="shared" si="15"/>
        <v>486</v>
      </c>
      <c r="B291" s="42">
        <v>1</v>
      </c>
      <c r="C291" s="132" t="s">
        <v>410</v>
      </c>
      <c r="D291" s="137" t="s">
        <v>753</v>
      </c>
      <c r="E291" s="69">
        <f t="shared" si="16"/>
        <v>51</v>
      </c>
    </row>
    <row r="292" spans="1:5" ht="26.4">
      <c r="A292" s="76">
        <f t="shared" si="15"/>
        <v>487</v>
      </c>
      <c r="B292" s="42">
        <v>1</v>
      </c>
      <c r="C292" s="132" t="s">
        <v>411</v>
      </c>
      <c r="D292" s="137" t="s">
        <v>753</v>
      </c>
      <c r="E292" s="69">
        <f t="shared" si="16"/>
        <v>52</v>
      </c>
    </row>
    <row r="293" spans="1:5" ht="26.4">
      <c r="A293" s="76">
        <f t="shared" si="15"/>
        <v>488</v>
      </c>
      <c r="B293" s="42">
        <v>4</v>
      </c>
      <c r="C293" s="132" t="s">
        <v>412</v>
      </c>
      <c r="D293" s="60" t="s">
        <v>758</v>
      </c>
      <c r="E293" s="69">
        <f t="shared" si="16"/>
        <v>53</v>
      </c>
    </row>
    <row r="294" spans="1:5" ht="26.4">
      <c r="A294" s="76">
        <f t="shared" si="15"/>
        <v>492</v>
      </c>
      <c r="B294" s="42">
        <v>4</v>
      </c>
      <c r="C294" s="132" t="s">
        <v>414</v>
      </c>
      <c r="D294" s="60" t="s">
        <v>758</v>
      </c>
      <c r="E294" s="69">
        <f t="shared" si="16"/>
        <v>57</v>
      </c>
    </row>
    <row r="295" spans="1:5" ht="26.4">
      <c r="A295" s="76">
        <f t="shared" si="15"/>
        <v>496</v>
      </c>
      <c r="B295" s="42">
        <v>1</v>
      </c>
      <c r="C295" s="132" t="s">
        <v>415</v>
      </c>
      <c r="D295" s="60" t="s">
        <v>742</v>
      </c>
      <c r="E295" s="69">
        <f t="shared" si="16"/>
        <v>61</v>
      </c>
    </row>
    <row r="296" spans="1:5">
      <c r="A296" s="76">
        <f t="shared" si="15"/>
        <v>497</v>
      </c>
      <c r="B296" s="42">
        <v>1</v>
      </c>
      <c r="C296" s="132" t="s">
        <v>419</v>
      </c>
      <c r="D296" s="42" t="s">
        <v>347</v>
      </c>
      <c r="E296" s="69">
        <f t="shared" si="16"/>
        <v>62</v>
      </c>
    </row>
    <row r="297" spans="1:5">
      <c r="A297" s="76">
        <f t="shared" si="15"/>
        <v>498</v>
      </c>
      <c r="B297" s="76"/>
    </row>
    <row r="298" spans="1:5">
      <c r="A298" s="76">
        <f t="shared" si="15"/>
        <v>498</v>
      </c>
      <c r="B298" s="67">
        <v>63</v>
      </c>
      <c r="C298" s="69" t="s">
        <v>420</v>
      </c>
      <c r="D298" s="570" t="s">
        <v>421</v>
      </c>
    </row>
    <row r="299" spans="1:5">
      <c r="A299" s="76">
        <f t="shared" si="15"/>
        <v>561</v>
      </c>
      <c r="B299" s="67">
        <v>63</v>
      </c>
      <c r="C299" s="69" t="s">
        <v>422</v>
      </c>
      <c r="D299" s="570"/>
    </row>
    <row r="300" spans="1:5">
      <c r="A300" s="76">
        <f t="shared" si="15"/>
        <v>624</v>
      </c>
      <c r="B300" s="67">
        <v>63</v>
      </c>
      <c r="C300" s="69" t="s">
        <v>423</v>
      </c>
      <c r="D300" s="570"/>
    </row>
    <row r="301" spans="1:5">
      <c r="A301" s="76">
        <f t="shared" si="15"/>
        <v>687</v>
      </c>
      <c r="B301" s="67">
        <v>63</v>
      </c>
      <c r="C301" s="69" t="s">
        <v>424</v>
      </c>
      <c r="D301" s="570"/>
    </row>
    <row r="302" spans="1:5">
      <c r="A302" s="76">
        <f t="shared" si="15"/>
        <v>750</v>
      </c>
      <c r="B302" s="67">
        <v>63</v>
      </c>
      <c r="C302" s="69" t="s">
        <v>425</v>
      </c>
      <c r="D302" s="570"/>
    </row>
    <row r="303" spans="1:5">
      <c r="A303" s="76">
        <f t="shared" si="15"/>
        <v>813</v>
      </c>
      <c r="B303" s="67">
        <v>63</v>
      </c>
      <c r="C303" s="69" t="s">
        <v>426</v>
      </c>
      <c r="D303" s="570"/>
    </row>
    <row r="304" spans="1:5">
      <c r="A304" s="76">
        <f t="shared" si="15"/>
        <v>876</v>
      </c>
      <c r="B304" s="67">
        <v>63</v>
      </c>
      <c r="C304" s="69" t="s">
        <v>427</v>
      </c>
      <c r="D304" s="570"/>
    </row>
    <row r="305" spans="1:4">
      <c r="A305" s="76">
        <f t="shared" si="15"/>
        <v>939</v>
      </c>
      <c r="B305" s="67">
        <v>63</v>
      </c>
      <c r="C305" s="69" t="s">
        <v>428</v>
      </c>
      <c r="D305" s="570"/>
    </row>
    <row r="306" spans="1:4">
      <c r="A306" s="76">
        <f t="shared" si="15"/>
        <v>1002</v>
      </c>
      <c r="B306" s="67">
        <v>63</v>
      </c>
      <c r="C306" s="69" t="s">
        <v>429</v>
      </c>
      <c r="D306" s="570"/>
    </row>
    <row r="307" spans="1:4">
      <c r="A307" s="76">
        <f t="shared" si="15"/>
        <v>1065</v>
      </c>
      <c r="B307" s="67">
        <v>63</v>
      </c>
      <c r="C307" s="69" t="s">
        <v>430</v>
      </c>
      <c r="D307" s="570"/>
    </row>
    <row r="308" spans="1:4">
      <c r="A308" s="76">
        <f t="shared" si="15"/>
        <v>1128</v>
      </c>
      <c r="B308" s="67">
        <v>63</v>
      </c>
      <c r="C308" s="69" t="s">
        <v>431</v>
      </c>
      <c r="D308" s="570"/>
    </row>
    <row r="309" spans="1:4">
      <c r="A309" s="76">
        <f t="shared" si="15"/>
        <v>1191</v>
      </c>
      <c r="B309" s="67">
        <v>63</v>
      </c>
      <c r="C309" s="69" t="s">
        <v>432</v>
      </c>
      <c r="D309" s="570"/>
    </row>
    <row r="310" spans="1:4">
      <c r="A310" s="76">
        <f t="shared" si="15"/>
        <v>1254</v>
      </c>
      <c r="B310" s="67">
        <v>63</v>
      </c>
      <c r="C310" s="69" t="s">
        <v>433</v>
      </c>
      <c r="D310" s="570"/>
    </row>
    <row r="311" spans="1:4">
      <c r="A311" s="76">
        <f t="shared" si="15"/>
        <v>1317</v>
      </c>
      <c r="B311" s="67">
        <v>63</v>
      </c>
      <c r="C311" s="69" t="s">
        <v>434</v>
      </c>
      <c r="D311" s="570"/>
    </row>
    <row r="312" spans="1:4">
      <c r="A312" s="76">
        <f t="shared" si="15"/>
        <v>1380</v>
      </c>
      <c r="B312" s="67">
        <v>63</v>
      </c>
      <c r="C312" s="69" t="s">
        <v>435</v>
      </c>
      <c r="D312" s="570"/>
    </row>
    <row r="313" spans="1:4">
      <c r="A313" s="76">
        <f t="shared" si="15"/>
        <v>1443</v>
      </c>
      <c r="B313" s="67">
        <v>63</v>
      </c>
      <c r="C313" s="69" t="s">
        <v>436</v>
      </c>
      <c r="D313" s="570"/>
    </row>
    <row r="314" spans="1:4">
      <c r="A314" s="76">
        <f t="shared" si="15"/>
        <v>1506</v>
      </c>
      <c r="B314" s="67">
        <v>63</v>
      </c>
      <c r="C314" s="69" t="s">
        <v>437</v>
      </c>
      <c r="D314" s="570"/>
    </row>
    <row r="315" spans="1:4">
      <c r="A315" s="76">
        <f t="shared" si="15"/>
        <v>1569</v>
      </c>
      <c r="B315" s="67">
        <v>63</v>
      </c>
      <c r="C315" s="69" t="s">
        <v>438</v>
      </c>
      <c r="D315" s="570"/>
    </row>
    <row r="316" spans="1:4">
      <c r="A316" s="76">
        <f t="shared" si="15"/>
        <v>1632</v>
      </c>
      <c r="B316" s="67">
        <v>63</v>
      </c>
      <c r="C316" s="69" t="s">
        <v>439</v>
      </c>
      <c r="D316" s="570"/>
    </row>
    <row r="317" spans="1:4">
      <c r="A317" s="76">
        <f t="shared" si="15"/>
        <v>1695</v>
      </c>
      <c r="B317" s="67">
        <v>63</v>
      </c>
      <c r="C317" s="69" t="s">
        <v>440</v>
      </c>
      <c r="D317" s="572"/>
    </row>
    <row r="318" spans="1:4">
      <c r="A318" s="76">
        <f t="shared" si="15"/>
        <v>1758</v>
      </c>
      <c r="B318" s="67">
        <v>63</v>
      </c>
      <c r="C318" s="69" t="s">
        <v>441</v>
      </c>
      <c r="D318" s="570"/>
    </row>
    <row r="319" spans="1:4">
      <c r="A319" s="76">
        <f t="shared" si="15"/>
        <v>1821</v>
      </c>
      <c r="B319" s="67">
        <v>63</v>
      </c>
      <c r="C319" s="69" t="s">
        <v>442</v>
      </c>
      <c r="D319" s="570"/>
    </row>
    <row r="320" spans="1:4">
      <c r="A320" s="76">
        <f t="shared" ref="A320:A364" si="17">A319+B319</f>
        <v>1884</v>
      </c>
      <c r="B320" s="67">
        <v>63</v>
      </c>
      <c r="C320" s="69" t="s">
        <v>443</v>
      </c>
      <c r="D320" s="570"/>
    </row>
    <row r="321" spans="1:4">
      <c r="A321" s="76">
        <f t="shared" si="17"/>
        <v>1947</v>
      </c>
      <c r="B321" s="67">
        <v>63</v>
      </c>
      <c r="C321" s="69" t="s">
        <v>444</v>
      </c>
      <c r="D321" s="570"/>
    </row>
    <row r="322" spans="1:4">
      <c r="A322" s="76">
        <f t="shared" si="17"/>
        <v>2010</v>
      </c>
      <c r="B322" s="67">
        <v>63</v>
      </c>
      <c r="C322" s="69" t="s">
        <v>445</v>
      </c>
      <c r="D322" s="570"/>
    </row>
    <row r="323" spans="1:4">
      <c r="A323" s="76">
        <f t="shared" si="17"/>
        <v>2073</v>
      </c>
      <c r="B323" s="67">
        <v>63</v>
      </c>
      <c r="C323" s="69" t="s">
        <v>446</v>
      </c>
      <c r="D323" s="570"/>
    </row>
    <row r="324" spans="1:4">
      <c r="A324" s="76">
        <f t="shared" si="17"/>
        <v>2136</v>
      </c>
      <c r="B324" s="67">
        <v>63</v>
      </c>
      <c r="C324" s="69" t="s">
        <v>447</v>
      </c>
      <c r="D324" s="570"/>
    </row>
    <row r="325" spans="1:4">
      <c r="A325" s="76">
        <f t="shared" si="17"/>
        <v>2199</v>
      </c>
      <c r="B325" s="67">
        <v>63</v>
      </c>
      <c r="C325" s="69" t="s">
        <v>448</v>
      </c>
      <c r="D325" s="570"/>
    </row>
    <row r="326" spans="1:4">
      <c r="A326" s="76">
        <f t="shared" si="17"/>
        <v>2262</v>
      </c>
      <c r="B326" s="67">
        <v>63</v>
      </c>
      <c r="C326" s="69" t="s">
        <v>449</v>
      </c>
      <c r="D326" s="570"/>
    </row>
    <row r="327" spans="1:4">
      <c r="A327" s="76">
        <f t="shared" si="17"/>
        <v>2325</v>
      </c>
      <c r="B327" s="67">
        <v>63</v>
      </c>
      <c r="C327" s="69" t="s">
        <v>450</v>
      </c>
      <c r="D327" s="570"/>
    </row>
    <row r="328" spans="1:4">
      <c r="A328" s="76">
        <f t="shared" si="17"/>
        <v>2388</v>
      </c>
      <c r="B328" s="67">
        <v>63</v>
      </c>
      <c r="C328" s="69" t="s">
        <v>451</v>
      </c>
      <c r="D328" s="570"/>
    </row>
    <row r="329" spans="1:4">
      <c r="A329" s="76">
        <f t="shared" si="17"/>
        <v>2451</v>
      </c>
      <c r="B329" s="67">
        <v>63</v>
      </c>
      <c r="C329" s="69" t="s">
        <v>452</v>
      </c>
      <c r="D329" s="570"/>
    </row>
    <row r="330" spans="1:4">
      <c r="A330" s="76">
        <f t="shared" si="17"/>
        <v>2514</v>
      </c>
      <c r="B330" s="67">
        <v>63</v>
      </c>
      <c r="C330" s="69" t="s">
        <v>453</v>
      </c>
      <c r="D330" s="570"/>
    </row>
    <row r="331" spans="1:4">
      <c r="A331" s="76">
        <f t="shared" si="17"/>
        <v>2577</v>
      </c>
      <c r="B331" s="67">
        <v>63</v>
      </c>
      <c r="C331" s="69" t="s">
        <v>454</v>
      </c>
      <c r="D331" s="570"/>
    </row>
    <row r="332" spans="1:4">
      <c r="A332" s="76">
        <f t="shared" si="17"/>
        <v>2640</v>
      </c>
      <c r="B332" s="67">
        <v>63</v>
      </c>
      <c r="C332" s="69" t="s">
        <v>455</v>
      </c>
      <c r="D332" s="570"/>
    </row>
    <row r="333" spans="1:4">
      <c r="A333" s="76">
        <f t="shared" si="17"/>
        <v>2703</v>
      </c>
      <c r="B333" s="67">
        <v>63</v>
      </c>
      <c r="C333" s="69" t="s">
        <v>456</v>
      </c>
      <c r="D333" s="570"/>
    </row>
    <row r="334" spans="1:4">
      <c r="A334" s="76">
        <f t="shared" si="17"/>
        <v>2766</v>
      </c>
      <c r="B334" s="67">
        <v>63</v>
      </c>
      <c r="C334" s="69" t="s">
        <v>457</v>
      </c>
      <c r="D334" s="570"/>
    </row>
    <row r="335" spans="1:4">
      <c r="A335" s="76">
        <f t="shared" si="17"/>
        <v>2829</v>
      </c>
      <c r="B335" s="67">
        <v>63</v>
      </c>
      <c r="C335" s="69" t="s">
        <v>458</v>
      </c>
      <c r="D335" s="570"/>
    </row>
    <row r="336" spans="1:4">
      <c r="A336" s="76">
        <f t="shared" si="17"/>
        <v>2892</v>
      </c>
      <c r="B336" s="67">
        <v>63</v>
      </c>
      <c r="C336" s="69" t="s">
        <v>459</v>
      </c>
      <c r="D336" s="570"/>
    </row>
    <row r="337" spans="1:4">
      <c r="A337" s="76">
        <f t="shared" si="17"/>
        <v>2955</v>
      </c>
      <c r="B337" s="67">
        <v>63</v>
      </c>
      <c r="C337" s="69" t="s">
        <v>460</v>
      </c>
      <c r="D337" s="570"/>
    </row>
    <row r="338" spans="1:4">
      <c r="A338" s="76">
        <f t="shared" si="17"/>
        <v>3018</v>
      </c>
      <c r="B338" s="67">
        <v>63</v>
      </c>
      <c r="C338" s="69" t="s">
        <v>461</v>
      </c>
      <c r="D338" s="570"/>
    </row>
    <row r="339" spans="1:4">
      <c r="A339" s="76">
        <f t="shared" si="17"/>
        <v>3081</v>
      </c>
      <c r="B339" s="67">
        <v>63</v>
      </c>
      <c r="C339" s="69" t="s">
        <v>462</v>
      </c>
      <c r="D339" s="570"/>
    </row>
    <row r="340" spans="1:4">
      <c r="A340" s="76">
        <f t="shared" si="17"/>
        <v>3144</v>
      </c>
      <c r="B340" s="67">
        <v>63</v>
      </c>
      <c r="C340" s="69" t="s">
        <v>463</v>
      </c>
      <c r="D340" s="570"/>
    </row>
    <row r="341" spans="1:4">
      <c r="A341" s="76">
        <f t="shared" si="17"/>
        <v>3207</v>
      </c>
      <c r="B341" s="67">
        <v>63</v>
      </c>
      <c r="C341" s="69" t="s">
        <v>464</v>
      </c>
      <c r="D341" s="570"/>
    </row>
    <row r="342" spans="1:4">
      <c r="A342" s="76">
        <f t="shared" si="17"/>
        <v>3270</v>
      </c>
      <c r="B342" s="67">
        <v>63</v>
      </c>
      <c r="C342" s="69" t="s">
        <v>465</v>
      </c>
      <c r="D342" s="570"/>
    </row>
    <row r="343" spans="1:4">
      <c r="A343" s="76">
        <f t="shared" si="17"/>
        <v>3333</v>
      </c>
      <c r="B343" s="67">
        <v>63</v>
      </c>
      <c r="C343" s="69" t="s">
        <v>466</v>
      </c>
      <c r="D343" s="570"/>
    </row>
    <row r="344" spans="1:4">
      <c r="A344" s="76">
        <f t="shared" si="17"/>
        <v>3396</v>
      </c>
      <c r="B344" s="67">
        <v>63</v>
      </c>
      <c r="C344" s="69" t="s">
        <v>467</v>
      </c>
      <c r="D344" s="570"/>
    </row>
    <row r="345" spans="1:4">
      <c r="A345" s="76">
        <f t="shared" si="17"/>
        <v>3459</v>
      </c>
      <c r="B345" s="67">
        <v>63</v>
      </c>
      <c r="C345" s="69" t="s">
        <v>468</v>
      </c>
      <c r="D345" s="570"/>
    </row>
    <row r="346" spans="1:4">
      <c r="A346" s="76">
        <f t="shared" si="17"/>
        <v>3522</v>
      </c>
      <c r="B346" s="67">
        <v>63</v>
      </c>
      <c r="C346" s="69" t="s">
        <v>469</v>
      </c>
      <c r="D346" s="570"/>
    </row>
    <row r="347" spans="1:4">
      <c r="A347" s="76">
        <f t="shared" si="17"/>
        <v>3585</v>
      </c>
      <c r="B347" s="67">
        <v>63</v>
      </c>
      <c r="C347" s="69" t="s">
        <v>470</v>
      </c>
      <c r="D347" s="570"/>
    </row>
    <row r="348" spans="1:4">
      <c r="A348" s="76">
        <f t="shared" si="17"/>
        <v>3648</v>
      </c>
      <c r="B348" s="67">
        <v>63</v>
      </c>
      <c r="C348" s="69" t="s">
        <v>471</v>
      </c>
      <c r="D348" s="570"/>
    </row>
    <row r="349" spans="1:4">
      <c r="A349" s="76">
        <f t="shared" si="17"/>
        <v>3711</v>
      </c>
      <c r="B349" s="67">
        <v>63</v>
      </c>
      <c r="C349" s="69" t="s">
        <v>472</v>
      </c>
      <c r="D349" s="570"/>
    </row>
    <row r="350" spans="1:4">
      <c r="A350" s="76">
        <f t="shared" si="17"/>
        <v>3774</v>
      </c>
      <c r="B350" s="67">
        <v>63</v>
      </c>
      <c r="C350" s="69" t="s">
        <v>473</v>
      </c>
      <c r="D350" s="570"/>
    </row>
    <row r="351" spans="1:4">
      <c r="A351" s="76">
        <f t="shared" si="17"/>
        <v>3837</v>
      </c>
      <c r="B351" s="67">
        <v>63</v>
      </c>
      <c r="C351" s="69" t="s">
        <v>474</v>
      </c>
      <c r="D351" s="570"/>
    </row>
    <row r="352" spans="1:4">
      <c r="A352" s="76">
        <f t="shared" si="17"/>
        <v>3900</v>
      </c>
      <c r="B352" s="67">
        <v>63</v>
      </c>
      <c r="C352" s="69" t="s">
        <v>475</v>
      </c>
      <c r="D352" s="570"/>
    </row>
    <row r="353" spans="1:4">
      <c r="A353" s="76">
        <f t="shared" si="17"/>
        <v>3963</v>
      </c>
      <c r="B353" s="67">
        <v>63</v>
      </c>
      <c r="C353" s="69" t="s">
        <v>476</v>
      </c>
      <c r="D353" s="570"/>
    </row>
    <row r="354" spans="1:4">
      <c r="A354" s="76">
        <f t="shared" si="17"/>
        <v>4026</v>
      </c>
      <c r="B354" s="67">
        <v>63</v>
      </c>
      <c r="C354" s="69" t="s">
        <v>477</v>
      </c>
      <c r="D354" s="570"/>
    </row>
    <row r="355" spans="1:4">
      <c r="A355" s="76">
        <f t="shared" si="17"/>
        <v>4089</v>
      </c>
      <c r="B355" s="67">
        <v>63</v>
      </c>
      <c r="C355" s="69" t="s">
        <v>478</v>
      </c>
      <c r="D355" s="570"/>
    </row>
    <row r="356" spans="1:4">
      <c r="A356" s="76">
        <f t="shared" si="17"/>
        <v>4152</v>
      </c>
      <c r="B356" s="67">
        <v>63</v>
      </c>
      <c r="C356" s="69" t="s">
        <v>479</v>
      </c>
      <c r="D356" s="570"/>
    </row>
    <row r="357" spans="1:4">
      <c r="A357" s="76">
        <f t="shared" si="17"/>
        <v>4215</v>
      </c>
      <c r="B357" s="67">
        <v>63</v>
      </c>
      <c r="C357" s="69" t="s">
        <v>480</v>
      </c>
      <c r="D357" s="570"/>
    </row>
    <row r="358" spans="1:4">
      <c r="A358" s="76">
        <f t="shared" si="17"/>
        <v>4278</v>
      </c>
      <c r="B358" s="67">
        <v>63</v>
      </c>
      <c r="C358" s="69" t="s">
        <v>481</v>
      </c>
      <c r="D358" s="570"/>
    </row>
    <row r="359" spans="1:4" ht="22.8">
      <c r="A359" s="76">
        <f t="shared" si="17"/>
        <v>4341</v>
      </c>
      <c r="B359" s="76">
        <v>2</v>
      </c>
      <c r="C359" s="76" t="s">
        <v>121</v>
      </c>
      <c r="D359" s="68" t="s">
        <v>122</v>
      </c>
    </row>
    <row r="360" spans="1:4" ht="22.8">
      <c r="A360" s="76">
        <f t="shared" si="17"/>
        <v>4343</v>
      </c>
      <c r="B360" s="76">
        <v>1</v>
      </c>
      <c r="C360" s="76" t="s">
        <v>125</v>
      </c>
      <c r="D360" s="68" t="s">
        <v>483</v>
      </c>
    </row>
    <row r="361" spans="1:4" ht="22.8">
      <c r="A361" s="76">
        <f t="shared" si="17"/>
        <v>4344</v>
      </c>
      <c r="B361" s="67">
        <v>2</v>
      </c>
      <c r="C361" s="30" t="s">
        <v>127</v>
      </c>
      <c r="D361" s="68" t="s">
        <v>128</v>
      </c>
    </row>
    <row r="362" spans="1:4" ht="34.200000000000003">
      <c r="A362" s="76">
        <f t="shared" si="17"/>
        <v>4346</v>
      </c>
      <c r="B362" s="67">
        <v>4</v>
      </c>
      <c r="C362" s="67" t="s">
        <v>129</v>
      </c>
      <c r="D362" s="68" t="s">
        <v>130</v>
      </c>
    </row>
    <row r="363" spans="1:4">
      <c r="A363" s="76">
        <f t="shared" si="17"/>
        <v>4350</v>
      </c>
      <c r="B363" s="67">
        <v>1</v>
      </c>
      <c r="C363" s="67" t="s">
        <v>131</v>
      </c>
      <c r="D363" s="68" t="s">
        <v>132</v>
      </c>
    </row>
    <row r="364" spans="1:4">
      <c r="A364" s="76">
        <f t="shared" si="17"/>
        <v>4351</v>
      </c>
      <c r="B364" s="130" t="s">
        <v>486</v>
      </c>
    </row>
  </sheetData>
  <mergeCells count="53">
    <mergeCell ref="D277:D278"/>
    <mergeCell ref="D285:D286"/>
    <mergeCell ref="D298:D358"/>
    <mergeCell ref="D243:D245"/>
    <mergeCell ref="D247:D249"/>
    <mergeCell ref="D251:D253"/>
    <mergeCell ref="D255:D259"/>
    <mergeCell ref="D274:D275"/>
    <mergeCell ref="D198:D199"/>
    <mergeCell ref="D200:D201"/>
    <mergeCell ref="D204:D215"/>
    <mergeCell ref="D217:D228"/>
    <mergeCell ref="D230:D241"/>
    <mergeCell ref="D166:D167"/>
    <mergeCell ref="D177:D180"/>
    <mergeCell ref="D181:D182"/>
    <mergeCell ref="D183:D184"/>
    <mergeCell ref="D194:D197"/>
    <mergeCell ref="D131:D132"/>
    <mergeCell ref="D133:D134"/>
    <mergeCell ref="D135:D136"/>
    <mergeCell ref="D160:D163"/>
    <mergeCell ref="D164:D165"/>
    <mergeCell ref="D103:D111"/>
    <mergeCell ref="D113:D114"/>
    <mergeCell ref="D115:D116"/>
    <mergeCell ref="D117:D118"/>
    <mergeCell ref="D121:D129"/>
    <mergeCell ref="D77:D80"/>
    <mergeCell ref="D85:D93"/>
    <mergeCell ref="D95:D96"/>
    <mergeCell ref="D97:D98"/>
    <mergeCell ref="D99:D100"/>
    <mergeCell ref="D59:D62"/>
    <mergeCell ref="D67:D68"/>
    <mergeCell ref="D69:D70"/>
    <mergeCell ref="D71:D73"/>
    <mergeCell ref="D74:D76"/>
    <mergeCell ref="D41:D44"/>
    <mergeCell ref="D49:D50"/>
    <mergeCell ref="D51:D52"/>
    <mergeCell ref="D53:D55"/>
    <mergeCell ref="D56:D58"/>
    <mergeCell ref="A22:E22"/>
    <mergeCell ref="D31:D32"/>
    <mergeCell ref="D33:D34"/>
    <mergeCell ref="D35:D37"/>
    <mergeCell ref="D38:D40"/>
    <mergeCell ref="A1:B1"/>
    <mergeCell ref="A2:E2"/>
    <mergeCell ref="A4:E4"/>
    <mergeCell ref="A19:B19"/>
    <mergeCell ref="A20:E20"/>
  </mergeCells>
  <pageMargins left="0.69861111111111096" right="0.69861111111111096" top="0.75" bottom="0.75" header="0.3" footer="0.3"/>
  <headerFooter scaleWithDoc="0"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31"/>
  <sheetViews>
    <sheetView workbookViewId="0">
      <selection activeCell="D21" sqref="D21:D79"/>
    </sheetView>
  </sheetViews>
  <sheetFormatPr defaultColWidth="9.109375" defaultRowHeight="13.2"/>
  <cols>
    <col min="1" max="1" width="24.6640625" style="30" customWidth="1"/>
    <col min="2" max="2" width="17.6640625" style="30" customWidth="1"/>
    <col min="3" max="3" width="26" style="31" customWidth="1"/>
    <col min="4" max="4" width="48.88671875" style="41" customWidth="1"/>
    <col min="5" max="5" width="31.21875" style="33" customWidth="1"/>
  </cols>
  <sheetData>
    <row r="1" spans="1:5" ht="15">
      <c r="A1" s="34"/>
      <c r="B1" s="34"/>
    </row>
    <row r="2" spans="1:5" ht="15">
      <c r="A2" s="556" t="s">
        <v>54</v>
      </c>
      <c r="B2" s="556"/>
      <c r="C2" s="556"/>
      <c r="D2" s="556"/>
      <c r="E2" s="556"/>
    </row>
    <row r="4" spans="1:5" ht="15">
      <c r="A4" s="556" t="s">
        <v>523</v>
      </c>
      <c r="B4" s="556"/>
      <c r="C4" s="556"/>
      <c r="D4" s="556"/>
      <c r="E4" s="556"/>
    </row>
    <row r="5" spans="1:5" ht="15">
      <c r="A5" s="35"/>
      <c r="B5" s="35"/>
      <c r="D5" s="61"/>
    </row>
    <row r="6" spans="1:5">
      <c r="A6" s="557" t="s">
        <v>524</v>
      </c>
      <c r="B6" s="557"/>
      <c r="C6" s="557"/>
      <c r="D6" s="557"/>
      <c r="E6" s="557"/>
    </row>
    <row r="7" spans="1:5">
      <c r="A7" s="557"/>
      <c r="B7" s="557"/>
      <c r="C7" s="557"/>
      <c r="D7" s="557"/>
      <c r="E7" s="557"/>
    </row>
    <row r="8" spans="1:5">
      <c r="A8" s="557"/>
      <c r="B8" s="557"/>
      <c r="C8" s="557"/>
      <c r="D8" s="557"/>
      <c r="E8" s="557"/>
    </row>
    <row r="9" spans="1:5">
      <c r="A9" s="557"/>
      <c r="B9" s="557"/>
      <c r="C9" s="557"/>
      <c r="D9" s="557"/>
      <c r="E9" s="557"/>
    </row>
    <row r="10" spans="1:5">
      <c r="A10" s="557"/>
      <c r="B10" s="557"/>
      <c r="C10" s="557"/>
      <c r="D10" s="557"/>
      <c r="E10" s="557"/>
    </row>
    <row r="11" spans="1:5">
      <c r="A11" s="62"/>
      <c r="B11" s="62"/>
      <c r="C11" s="62"/>
      <c r="D11" s="62"/>
      <c r="E11" s="62"/>
    </row>
    <row r="13" spans="1:5" ht="15">
      <c r="A13" s="37" t="s">
        <v>110</v>
      </c>
      <c r="B13" s="37" t="s">
        <v>111</v>
      </c>
      <c r="C13" s="38" t="s">
        <v>112</v>
      </c>
      <c r="D13" s="63" t="s">
        <v>113</v>
      </c>
      <c r="E13" s="34"/>
    </row>
    <row r="14" spans="1:5">
      <c r="A14" s="30">
        <v>0</v>
      </c>
      <c r="B14" s="30">
        <v>1</v>
      </c>
      <c r="C14" s="31" t="s">
        <v>114</v>
      </c>
      <c r="D14" s="41" t="s">
        <v>115</v>
      </c>
    </row>
    <row r="15" spans="1:5">
      <c r="A15" s="30">
        <f t="shared" ref="A15:A78" si="0">A14+B14</f>
        <v>1</v>
      </c>
      <c r="B15" s="30">
        <v>1</v>
      </c>
      <c r="C15" s="31" t="s">
        <v>116</v>
      </c>
      <c r="D15" s="41" t="s">
        <v>117</v>
      </c>
    </row>
    <row r="16" spans="1:5">
      <c r="A16" s="30">
        <f t="shared" si="0"/>
        <v>2</v>
      </c>
      <c r="B16" s="30">
        <v>1</v>
      </c>
      <c r="C16" s="31" t="s">
        <v>525</v>
      </c>
      <c r="D16" s="41" t="s">
        <v>526</v>
      </c>
    </row>
    <row r="17" spans="1:5" ht="39.6">
      <c r="A17" s="30">
        <f t="shared" si="0"/>
        <v>3</v>
      </c>
      <c r="B17" s="30">
        <v>3</v>
      </c>
      <c r="C17" s="40" t="s">
        <v>120</v>
      </c>
      <c r="D17" s="55" t="str">
        <f>DEC2HEX(A131-5)</f>
        <v>88</v>
      </c>
      <c r="E17" s="41"/>
    </row>
    <row r="18" spans="1:5">
      <c r="A18" s="30">
        <f t="shared" si="0"/>
        <v>6</v>
      </c>
      <c r="B18" s="30">
        <v>1</v>
      </c>
      <c r="C18" s="64" t="s">
        <v>527</v>
      </c>
      <c r="D18" s="55" t="s">
        <v>528</v>
      </c>
      <c r="E18" s="41"/>
    </row>
    <row r="19" spans="1:5">
      <c r="A19" s="30">
        <f t="shared" si="0"/>
        <v>7</v>
      </c>
      <c r="B19" s="30">
        <v>1</v>
      </c>
      <c r="C19" s="64" t="s">
        <v>116</v>
      </c>
      <c r="D19" s="55" t="s">
        <v>529</v>
      </c>
      <c r="E19" s="41"/>
    </row>
    <row r="20" spans="1:5" ht="136.80000000000001">
      <c r="A20" s="30">
        <f t="shared" si="0"/>
        <v>8</v>
      </c>
      <c r="B20" s="30">
        <v>1</v>
      </c>
      <c r="C20" s="45" t="s">
        <v>530</v>
      </c>
      <c r="D20" s="41" t="s">
        <v>531</v>
      </c>
    </row>
    <row r="21" spans="1:5">
      <c r="A21" s="30">
        <f t="shared" si="0"/>
        <v>9</v>
      </c>
      <c r="B21" s="30">
        <v>1</v>
      </c>
      <c r="C21" s="45" t="s">
        <v>532</v>
      </c>
      <c r="D21" s="573" t="s">
        <v>533</v>
      </c>
    </row>
    <row r="22" spans="1:5">
      <c r="A22" s="30">
        <f t="shared" si="0"/>
        <v>10</v>
      </c>
      <c r="B22" s="30">
        <v>1</v>
      </c>
      <c r="C22" s="45" t="s">
        <v>534</v>
      </c>
      <c r="D22" s="574"/>
    </row>
    <row r="23" spans="1:5">
      <c r="A23" s="30">
        <f t="shared" si="0"/>
        <v>11</v>
      </c>
      <c r="B23" s="30">
        <v>1</v>
      </c>
      <c r="C23" s="45" t="s">
        <v>535</v>
      </c>
      <c r="D23" s="574"/>
    </row>
    <row r="24" spans="1:5">
      <c r="A24" s="30">
        <f t="shared" si="0"/>
        <v>12</v>
      </c>
      <c r="B24" s="30">
        <v>1</v>
      </c>
      <c r="C24" s="45" t="s">
        <v>536</v>
      </c>
      <c r="D24" s="574"/>
    </row>
    <row r="25" spans="1:5">
      <c r="A25" s="30">
        <f t="shared" si="0"/>
        <v>13</v>
      </c>
      <c r="B25" s="30">
        <v>1</v>
      </c>
      <c r="C25" s="45" t="s">
        <v>537</v>
      </c>
      <c r="D25" s="574"/>
    </row>
    <row r="26" spans="1:5">
      <c r="A26" s="30">
        <f t="shared" si="0"/>
        <v>14</v>
      </c>
      <c r="B26" s="30">
        <v>1</v>
      </c>
      <c r="C26" s="45" t="s">
        <v>538</v>
      </c>
      <c r="D26" s="574"/>
    </row>
    <row r="27" spans="1:5">
      <c r="A27" s="30">
        <f t="shared" si="0"/>
        <v>15</v>
      </c>
      <c r="B27" s="30">
        <v>1</v>
      </c>
      <c r="C27" s="45" t="s">
        <v>539</v>
      </c>
      <c r="D27" s="574"/>
    </row>
    <row r="28" spans="1:5">
      <c r="A28" s="30">
        <f t="shared" si="0"/>
        <v>16</v>
      </c>
      <c r="B28" s="30">
        <v>1</v>
      </c>
      <c r="C28" s="45" t="s">
        <v>540</v>
      </c>
      <c r="D28" s="574"/>
    </row>
    <row r="29" spans="1:5">
      <c r="A29" s="30">
        <f t="shared" si="0"/>
        <v>17</v>
      </c>
      <c r="B29" s="30">
        <v>1</v>
      </c>
      <c r="C29" s="45" t="s">
        <v>541</v>
      </c>
      <c r="D29" s="574"/>
    </row>
    <row r="30" spans="1:5">
      <c r="A30" s="30">
        <f t="shared" si="0"/>
        <v>18</v>
      </c>
      <c r="B30" s="30">
        <v>1</v>
      </c>
      <c r="C30" s="45" t="s">
        <v>542</v>
      </c>
      <c r="D30" s="574"/>
    </row>
    <row r="31" spans="1:5">
      <c r="A31" s="30">
        <f t="shared" si="0"/>
        <v>19</v>
      </c>
      <c r="B31" s="30">
        <v>1</v>
      </c>
      <c r="C31" s="45" t="s">
        <v>543</v>
      </c>
      <c r="D31" s="574"/>
    </row>
    <row r="32" spans="1:5">
      <c r="A32" s="30">
        <f t="shared" si="0"/>
        <v>20</v>
      </c>
      <c r="B32" s="30">
        <v>1</v>
      </c>
      <c r="C32" s="45" t="s">
        <v>544</v>
      </c>
      <c r="D32" s="574"/>
    </row>
    <row r="33" spans="1:5">
      <c r="A33" s="30">
        <f t="shared" si="0"/>
        <v>21</v>
      </c>
      <c r="B33" s="30">
        <v>1</v>
      </c>
      <c r="C33" s="45" t="s">
        <v>545</v>
      </c>
      <c r="D33" s="574"/>
    </row>
    <row r="34" spans="1:5">
      <c r="A34" s="30">
        <f t="shared" si="0"/>
        <v>22</v>
      </c>
      <c r="B34" s="30">
        <v>1</v>
      </c>
      <c r="C34" s="45" t="s">
        <v>546</v>
      </c>
      <c r="D34" s="574"/>
    </row>
    <row r="35" spans="1:5">
      <c r="A35" s="30">
        <f t="shared" si="0"/>
        <v>23</v>
      </c>
      <c r="B35" s="30">
        <v>1</v>
      </c>
      <c r="C35" s="45" t="s">
        <v>547</v>
      </c>
      <c r="D35" s="574"/>
    </row>
    <row r="36" spans="1:5">
      <c r="A36" s="30">
        <f t="shared" si="0"/>
        <v>24</v>
      </c>
      <c r="B36" s="30">
        <v>1</v>
      </c>
      <c r="C36" s="45" t="s">
        <v>548</v>
      </c>
      <c r="D36" s="574"/>
    </row>
    <row r="37" spans="1:5">
      <c r="A37" s="30">
        <f t="shared" si="0"/>
        <v>25</v>
      </c>
      <c r="B37" s="30">
        <v>1</v>
      </c>
      <c r="C37" s="45" t="s">
        <v>549</v>
      </c>
      <c r="D37" s="574"/>
    </row>
    <row r="38" spans="1:5">
      <c r="A38" s="30">
        <f t="shared" si="0"/>
        <v>26</v>
      </c>
      <c r="B38" s="30">
        <v>1</v>
      </c>
      <c r="C38" s="45" t="s">
        <v>550</v>
      </c>
      <c r="D38" s="574"/>
    </row>
    <row r="39" spans="1:5">
      <c r="A39" s="30">
        <f t="shared" si="0"/>
        <v>27</v>
      </c>
      <c r="B39" s="30">
        <v>1</v>
      </c>
      <c r="C39" s="45" t="s">
        <v>551</v>
      </c>
      <c r="D39" s="574"/>
    </row>
    <row r="40" spans="1:5">
      <c r="A40" s="30">
        <f t="shared" si="0"/>
        <v>28</v>
      </c>
      <c r="B40" s="30">
        <v>1</v>
      </c>
      <c r="C40" s="45" t="s">
        <v>552</v>
      </c>
      <c r="D40" s="574"/>
    </row>
    <row r="41" spans="1:5">
      <c r="A41" s="30">
        <f t="shared" si="0"/>
        <v>29</v>
      </c>
      <c r="B41" s="30">
        <v>1</v>
      </c>
      <c r="C41" s="45" t="s">
        <v>553</v>
      </c>
      <c r="D41" s="574"/>
    </row>
    <row r="42" spans="1:5">
      <c r="A42" s="30">
        <f t="shared" si="0"/>
        <v>30</v>
      </c>
      <c r="B42" s="30">
        <v>1</v>
      </c>
      <c r="C42" s="45" t="s">
        <v>554</v>
      </c>
      <c r="D42" s="574"/>
    </row>
    <row r="43" spans="1:5">
      <c r="A43" s="30">
        <f t="shared" si="0"/>
        <v>31</v>
      </c>
      <c r="B43" s="30">
        <v>1</v>
      </c>
      <c r="C43" s="45" t="s">
        <v>555</v>
      </c>
      <c r="D43" s="574"/>
    </row>
    <row r="44" spans="1:5">
      <c r="A44" s="30">
        <f t="shared" si="0"/>
        <v>32</v>
      </c>
      <c r="B44" s="30">
        <v>1</v>
      </c>
      <c r="C44" s="45" t="s">
        <v>556</v>
      </c>
      <c r="D44" s="574"/>
    </row>
    <row r="45" spans="1:5">
      <c r="A45" s="30">
        <f t="shared" si="0"/>
        <v>33</v>
      </c>
      <c r="B45" s="30">
        <v>1</v>
      </c>
      <c r="C45" s="45" t="s">
        <v>557</v>
      </c>
      <c r="D45" s="574"/>
      <c r="E45" s="65"/>
    </row>
    <row r="46" spans="1:5">
      <c r="A46" s="30">
        <f t="shared" si="0"/>
        <v>34</v>
      </c>
      <c r="B46" s="30">
        <v>1</v>
      </c>
      <c r="C46" s="45" t="s">
        <v>558</v>
      </c>
      <c r="D46" s="574"/>
    </row>
    <row r="47" spans="1:5">
      <c r="A47" s="30">
        <f t="shared" si="0"/>
        <v>35</v>
      </c>
      <c r="B47" s="30">
        <v>1</v>
      </c>
      <c r="C47" s="45" t="s">
        <v>559</v>
      </c>
      <c r="D47" s="574"/>
    </row>
    <row r="48" spans="1:5">
      <c r="A48" s="30">
        <f t="shared" si="0"/>
        <v>36</v>
      </c>
      <c r="B48" s="30">
        <v>1</v>
      </c>
      <c r="C48" s="45" t="s">
        <v>560</v>
      </c>
      <c r="D48" s="574"/>
    </row>
    <row r="49" spans="1:4">
      <c r="A49" s="30">
        <f t="shared" si="0"/>
        <v>37</v>
      </c>
      <c r="B49" s="30">
        <v>1</v>
      </c>
      <c r="C49" s="45" t="s">
        <v>561</v>
      </c>
      <c r="D49" s="574"/>
    </row>
    <row r="50" spans="1:4">
      <c r="A50" s="30">
        <f t="shared" si="0"/>
        <v>38</v>
      </c>
      <c r="B50" s="30">
        <v>1</v>
      </c>
      <c r="C50" s="45" t="s">
        <v>562</v>
      </c>
      <c r="D50" s="574"/>
    </row>
    <row r="51" spans="1:4">
      <c r="A51" s="30">
        <f t="shared" si="0"/>
        <v>39</v>
      </c>
      <c r="B51" s="30">
        <v>1</v>
      </c>
      <c r="C51" s="45" t="s">
        <v>563</v>
      </c>
      <c r="D51" s="574"/>
    </row>
    <row r="52" spans="1:4">
      <c r="A52" s="30">
        <f t="shared" si="0"/>
        <v>40</v>
      </c>
      <c r="B52" s="30">
        <v>1</v>
      </c>
      <c r="C52" s="45" t="s">
        <v>564</v>
      </c>
      <c r="D52" s="574"/>
    </row>
    <row r="53" spans="1:4">
      <c r="A53" s="30">
        <f t="shared" si="0"/>
        <v>41</v>
      </c>
      <c r="B53" s="30">
        <v>1</v>
      </c>
      <c r="C53" s="45" t="s">
        <v>565</v>
      </c>
      <c r="D53" s="574"/>
    </row>
    <row r="54" spans="1:4">
      <c r="A54" s="30">
        <f t="shared" si="0"/>
        <v>42</v>
      </c>
      <c r="B54" s="30">
        <v>1</v>
      </c>
      <c r="C54" s="45" t="s">
        <v>566</v>
      </c>
      <c r="D54" s="574"/>
    </row>
    <row r="55" spans="1:4">
      <c r="A55" s="30">
        <f t="shared" si="0"/>
        <v>43</v>
      </c>
      <c r="B55" s="30">
        <v>1</v>
      </c>
      <c r="C55" s="45" t="s">
        <v>567</v>
      </c>
      <c r="D55" s="574"/>
    </row>
    <row r="56" spans="1:4">
      <c r="A56" s="30">
        <f t="shared" si="0"/>
        <v>44</v>
      </c>
      <c r="B56" s="30">
        <v>1</v>
      </c>
      <c r="C56" s="45" t="s">
        <v>568</v>
      </c>
      <c r="D56" s="574"/>
    </row>
    <row r="57" spans="1:4">
      <c r="A57" s="30">
        <f t="shared" si="0"/>
        <v>45</v>
      </c>
      <c r="B57" s="30">
        <v>1</v>
      </c>
      <c r="C57" s="45" t="s">
        <v>569</v>
      </c>
      <c r="D57" s="574"/>
    </row>
    <row r="58" spans="1:4">
      <c r="A58" s="30">
        <f t="shared" si="0"/>
        <v>46</v>
      </c>
      <c r="B58" s="30">
        <v>1</v>
      </c>
      <c r="C58" s="45" t="s">
        <v>570</v>
      </c>
      <c r="D58" s="574"/>
    </row>
    <row r="59" spans="1:4">
      <c r="A59" s="30">
        <f t="shared" si="0"/>
        <v>47</v>
      </c>
      <c r="B59" s="30">
        <v>1</v>
      </c>
      <c r="C59" s="45" t="s">
        <v>571</v>
      </c>
      <c r="D59" s="574"/>
    </row>
    <row r="60" spans="1:4">
      <c r="A60" s="30">
        <f t="shared" si="0"/>
        <v>48</v>
      </c>
      <c r="B60" s="30">
        <v>1</v>
      </c>
      <c r="C60" s="45" t="s">
        <v>572</v>
      </c>
      <c r="D60" s="574"/>
    </row>
    <row r="61" spans="1:4">
      <c r="A61" s="30">
        <f t="shared" si="0"/>
        <v>49</v>
      </c>
      <c r="B61" s="30">
        <v>1</v>
      </c>
      <c r="C61" s="45" t="s">
        <v>573</v>
      </c>
      <c r="D61" s="574"/>
    </row>
    <row r="62" spans="1:4">
      <c r="A62" s="30">
        <f t="shared" si="0"/>
        <v>50</v>
      </c>
      <c r="B62" s="30">
        <v>1</v>
      </c>
      <c r="C62" s="45" t="s">
        <v>574</v>
      </c>
      <c r="D62" s="574"/>
    </row>
    <row r="63" spans="1:4">
      <c r="A63" s="30">
        <f t="shared" si="0"/>
        <v>51</v>
      </c>
      <c r="B63" s="30">
        <v>1</v>
      </c>
      <c r="C63" s="45" t="s">
        <v>575</v>
      </c>
      <c r="D63" s="574"/>
    </row>
    <row r="64" spans="1:4">
      <c r="A64" s="30">
        <f t="shared" si="0"/>
        <v>52</v>
      </c>
      <c r="B64" s="30">
        <v>1</v>
      </c>
      <c r="C64" s="45" t="s">
        <v>576</v>
      </c>
      <c r="D64" s="574"/>
    </row>
    <row r="65" spans="1:4">
      <c r="A65" s="30">
        <f t="shared" si="0"/>
        <v>53</v>
      </c>
      <c r="B65" s="30">
        <v>1</v>
      </c>
      <c r="C65" s="45" t="s">
        <v>577</v>
      </c>
      <c r="D65" s="574"/>
    </row>
    <row r="66" spans="1:4">
      <c r="A66" s="30">
        <f t="shared" si="0"/>
        <v>54</v>
      </c>
      <c r="B66" s="30">
        <v>1</v>
      </c>
      <c r="C66" s="45" t="s">
        <v>578</v>
      </c>
      <c r="D66" s="574"/>
    </row>
    <row r="67" spans="1:4">
      <c r="A67" s="30">
        <f t="shared" si="0"/>
        <v>55</v>
      </c>
      <c r="B67" s="30">
        <v>1</v>
      </c>
      <c r="C67" s="45" t="s">
        <v>579</v>
      </c>
      <c r="D67" s="574"/>
    </row>
    <row r="68" spans="1:4">
      <c r="A68" s="30">
        <f t="shared" si="0"/>
        <v>56</v>
      </c>
      <c r="B68" s="30">
        <v>1</v>
      </c>
      <c r="C68" s="45" t="s">
        <v>580</v>
      </c>
      <c r="D68" s="574"/>
    </row>
    <row r="69" spans="1:4">
      <c r="A69" s="30">
        <f t="shared" si="0"/>
        <v>57</v>
      </c>
      <c r="B69" s="30">
        <v>1</v>
      </c>
      <c r="C69" s="45" t="s">
        <v>581</v>
      </c>
      <c r="D69" s="574"/>
    </row>
    <row r="70" spans="1:4">
      <c r="A70" s="30">
        <f t="shared" si="0"/>
        <v>58</v>
      </c>
      <c r="B70" s="30">
        <v>1</v>
      </c>
      <c r="C70" s="45" t="s">
        <v>582</v>
      </c>
      <c r="D70" s="574"/>
    </row>
    <row r="71" spans="1:4">
      <c r="A71" s="30">
        <f t="shared" si="0"/>
        <v>59</v>
      </c>
      <c r="B71" s="30">
        <v>1</v>
      </c>
      <c r="C71" s="45" t="s">
        <v>583</v>
      </c>
      <c r="D71" s="574"/>
    </row>
    <row r="72" spans="1:4">
      <c r="A72" s="30">
        <f t="shared" si="0"/>
        <v>60</v>
      </c>
      <c r="B72" s="30">
        <v>1</v>
      </c>
      <c r="C72" s="45" t="s">
        <v>584</v>
      </c>
      <c r="D72" s="574"/>
    </row>
    <row r="73" spans="1:4">
      <c r="A73" s="30">
        <f t="shared" si="0"/>
        <v>61</v>
      </c>
      <c r="B73" s="30">
        <v>1</v>
      </c>
      <c r="C73" s="45" t="s">
        <v>585</v>
      </c>
      <c r="D73" s="574"/>
    </row>
    <row r="74" spans="1:4">
      <c r="A74" s="30">
        <f t="shared" si="0"/>
        <v>62</v>
      </c>
      <c r="B74" s="30">
        <v>1</v>
      </c>
      <c r="C74" s="45" t="s">
        <v>586</v>
      </c>
      <c r="D74" s="574"/>
    </row>
    <row r="75" spans="1:4">
      <c r="A75" s="30">
        <f t="shared" si="0"/>
        <v>63</v>
      </c>
      <c r="B75" s="30">
        <v>1</v>
      </c>
      <c r="C75" s="45" t="s">
        <v>587</v>
      </c>
      <c r="D75" s="574"/>
    </row>
    <row r="76" spans="1:4">
      <c r="A76" s="30">
        <f t="shared" si="0"/>
        <v>64</v>
      </c>
      <c r="B76" s="30">
        <v>1</v>
      </c>
      <c r="C76" s="45" t="s">
        <v>588</v>
      </c>
      <c r="D76" s="574"/>
    </row>
    <row r="77" spans="1:4">
      <c r="A77" s="30">
        <f t="shared" si="0"/>
        <v>65</v>
      </c>
      <c r="B77" s="30">
        <v>1</v>
      </c>
      <c r="C77" s="45" t="s">
        <v>589</v>
      </c>
      <c r="D77" s="574"/>
    </row>
    <row r="78" spans="1:4">
      <c r="A78" s="30">
        <f t="shared" si="0"/>
        <v>66</v>
      </c>
      <c r="B78" s="30">
        <v>1</v>
      </c>
      <c r="C78" s="45" t="s">
        <v>590</v>
      </c>
      <c r="D78" s="574"/>
    </row>
    <row r="79" spans="1:4">
      <c r="A79" s="30">
        <f t="shared" ref="A79:A131" si="1">A78+B78</f>
        <v>67</v>
      </c>
      <c r="B79" s="30">
        <v>1</v>
      </c>
      <c r="C79" s="45" t="s">
        <v>591</v>
      </c>
      <c r="D79" s="574"/>
    </row>
    <row r="80" spans="1:4" ht="57">
      <c r="A80" s="30">
        <f t="shared" si="1"/>
        <v>68</v>
      </c>
      <c r="B80" s="30">
        <v>3</v>
      </c>
      <c r="C80" s="45" t="s">
        <v>1358</v>
      </c>
      <c r="D80" s="41" t="s">
        <v>1359</v>
      </c>
    </row>
    <row r="81" spans="1:4">
      <c r="A81" s="30">
        <f t="shared" si="1"/>
        <v>71</v>
      </c>
      <c r="B81" s="30">
        <v>1</v>
      </c>
      <c r="C81" s="44" t="s">
        <v>1360</v>
      </c>
      <c r="D81" s="44" t="s">
        <v>596</v>
      </c>
    </row>
    <row r="82" spans="1:4" ht="27.6">
      <c r="A82" s="30">
        <f t="shared" si="1"/>
        <v>72</v>
      </c>
      <c r="B82" s="30">
        <v>1</v>
      </c>
      <c r="C82" s="44" t="s">
        <v>1361</v>
      </c>
      <c r="D82" s="66" t="s">
        <v>598</v>
      </c>
    </row>
    <row r="83" spans="1:4">
      <c r="A83" s="30">
        <f t="shared" si="1"/>
        <v>73</v>
      </c>
      <c r="B83" s="30">
        <v>1</v>
      </c>
      <c r="C83" s="44" t="s">
        <v>1362</v>
      </c>
      <c r="D83" s="44" t="s">
        <v>596</v>
      </c>
    </row>
    <row r="84" spans="1:4" ht="27.6">
      <c r="A84" s="30">
        <f t="shared" si="1"/>
        <v>74</v>
      </c>
      <c r="B84" s="30">
        <v>1</v>
      </c>
      <c r="C84" s="44" t="s">
        <v>1363</v>
      </c>
      <c r="D84" s="66" t="s">
        <v>598</v>
      </c>
    </row>
    <row r="85" spans="1:4">
      <c r="A85" s="30">
        <f t="shared" si="1"/>
        <v>75</v>
      </c>
      <c r="B85" s="30">
        <v>1</v>
      </c>
      <c r="C85" s="44" t="s">
        <v>1364</v>
      </c>
      <c r="D85" s="44" t="s">
        <v>596</v>
      </c>
    </row>
    <row r="86" spans="1:4" ht="27.6">
      <c r="A86" s="30">
        <f t="shared" si="1"/>
        <v>76</v>
      </c>
      <c r="B86" s="30">
        <v>1</v>
      </c>
      <c r="C86" s="44" t="s">
        <v>224</v>
      </c>
      <c r="D86" s="66" t="s">
        <v>598</v>
      </c>
    </row>
    <row r="87" spans="1:4">
      <c r="A87" s="30">
        <f t="shared" si="1"/>
        <v>77</v>
      </c>
      <c r="B87" s="30">
        <v>1</v>
      </c>
      <c r="C87" s="44" t="s">
        <v>602</v>
      </c>
      <c r="D87" s="44" t="s">
        <v>596</v>
      </c>
    </row>
    <row r="88" spans="1:4" ht="27.6">
      <c r="A88" s="30">
        <f t="shared" si="1"/>
        <v>78</v>
      </c>
      <c r="B88" s="30">
        <v>1</v>
      </c>
      <c r="C88" s="44" t="s">
        <v>225</v>
      </c>
      <c r="D88" s="66" t="s">
        <v>598</v>
      </c>
    </row>
    <row r="89" spans="1:4">
      <c r="A89" s="30">
        <f t="shared" si="1"/>
        <v>79</v>
      </c>
      <c r="B89" s="30">
        <v>1</v>
      </c>
      <c r="C89" s="44" t="s">
        <v>603</v>
      </c>
      <c r="D89" s="44" t="s">
        <v>596</v>
      </c>
    </row>
    <row r="90" spans="1:4" ht="27.6">
      <c r="A90" s="30">
        <f t="shared" si="1"/>
        <v>80</v>
      </c>
      <c r="B90" s="30">
        <v>1</v>
      </c>
      <c r="C90" s="44" t="s">
        <v>226</v>
      </c>
      <c r="D90" s="66" t="s">
        <v>598</v>
      </c>
    </row>
    <row r="91" spans="1:4">
      <c r="A91" s="30">
        <f t="shared" si="1"/>
        <v>81</v>
      </c>
      <c r="B91" s="30">
        <v>1</v>
      </c>
      <c r="C91" s="44" t="s">
        <v>604</v>
      </c>
      <c r="D91" s="44" t="s">
        <v>596</v>
      </c>
    </row>
    <row r="92" spans="1:4" ht="27.6">
      <c r="A92" s="30">
        <f t="shared" si="1"/>
        <v>82</v>
      </c>
      <c r="B92" s="30">
        <v>1</v>
      </c>
      <c r="C92" s="44" t="s">
        <v>227</v>
      </c>
      <c r="D92" s="66" t="s">
        <v>598</v>
      </c>
    </row>
    <row r="93" spans="1:4">
      <c r="A93" s="30">
        <f t="shared" si="1"/>
        <v>83</v>
      </c>
      <c r="B93" s="30">
        <v>1</v>
      </c>
      <c r="C93" s="44" t="s">
        <v>605</v>
      </c>
      <c r="D93" s="44" t="s">
        <v>596</v>
      </c>
    </row>
    <row r="94" spans="1:4" ht="27.6">
      <c r="A94" s="30">
        <f t="shared" si="1"/>
        <v>84</v>
      </c>
      <c r="B94" s="30">
        <v>1</v>
      </c>
      <c r="C94" s="44" t="s">
        <v>228</v>
      </c>
      <c r="D94" s="66" t="s">
        <v>598</v>
      </c>
    </row>
    <row r="95" spans="1:4">
      <c r="A95" s="30">
        <f t="shared" si="1"/>
        <v>85</v>
      </c>
      <c r="B95" s="30">
        <v>1</v>
      </c>
      <c r="C95" s="44" t="s">
        <v>606</v>
      </c>
      <c r="D95" s="44" t="s">
        <v>596</v>
      </c>
    </row>
    <row r="96" spans="1:4" ht="27.6">
      <c r="A96" s="30">
        <f t="shared" si="1"/>
        <v>86</v>
      </c>
      <c r="B96" s="30">
        <v>1</v>
      </c>
      <c r="C96" s="44" t="s">
        <v>229</v>
      </c>
      <c r="D96" s="66" t="s">
        <v>598</v>
      </c>
    </row>
    <row r="97" spans="1:4">
      <c r="A97" s="30">
        <f t="shared" si="1"/>
        <v>87</v>
      </c>
      <c r="B97" s="30">
        <v>1</v>
      </c>
      <c r="C97" s="44" t="s">
        <v>607</v>
      </c>
      <c r="D97" s="44" t="s">
        <v>596</v>
      </c>
    </row>
    <row r="98" spans="1:4" ht="27.6">
      <c r="A98" s="30">
        <f t="shared" si="1"/>
        <v>88</v>
      </c>
      <c r="B98" s="30">
        <v>1</v>
      </c>
      <c r="C98" s="44" t="s">
        <v>1365</v>
      </c>
      <c r="D98" s="66" t="s">
        <v>598</v>
      </c>
    </row>
    <row r="99" spans="1:4">
      <c r="A99" s="30">
        <f t="shared" si="1"/>
        <v>89</v>
      </c>
      <c r="B99" s="30">
        <v>1</v>
      </c>
      <c r="C99" s="44" t="s">
        <v>1366</v>
      </c>
      <c r="D99" s="44" t="s">
        <v>596</v>
      </c>
    </row>
    <row r="100" spans="1:4" ht="41.4">
      <c r="A100" s="30">
        <f t="shared" si="1"/>
        <v>90</v>
      </c>
      <c r="B100" s="30">
        <v>1</v>
      </c>
      <c r="C100" s="44" t="s">
        <v>1367</v>
      </c>
      <c r="D100" s="66" t="s">
        <v>1368</v>
      </c>
    </row>
    <row r="101" spans="1:4" ht="26.4">
      <c r="A101" s="30">
        <f t="shared" si="1"/>
        <v>91</v>
      </c>
      <c r="B101" s="30">
        <v>1</v>
      </c>
      <c r="C101" s="44" t="s">
        <v>1369</v>
      </c>
      <c r="D101" s="51" t="s">
        <v>1370</v>
      </c>
    </row>
    <row r="102" spans="1:4" ht="27.6">
      <c r="A102" s="30">
        <f t="shared" si="1"/>
        <v>92</v>
      </c>
      <c r="B102" s="30">
        <v>1</v>
      </c>
      <c r="C102" s="44" t="s">
        <v>230</v>
      </c>
      <c r="D102" s="66" t="s">
        <v>598</v>
      </c>
    </row>
    <row r="103" spans="1:4">
      <c r="A103" s="30">
        <f t="shared" si="1"/>
        <v>93</v>
      </c>
      <c r="B103" s="30">
        <v>1</v>
      </c>
      <c r="C103" s="44" t="s">
        <v>611</v>
      </c>
      <c r="D103" s="44" t="s">
        <v>596</v>
      </c>
    </row>
    <row r="104" spans="1:4" ht="27.6">
      <c r="A104" s="30">
        <f t="shared" si="1"/>
        <v>94</v>
      </c>
      <c r="B104" s="30">
        <v>1</v>
      </c>
      <c r="C104" s="44" t="s">
        <v>231</v>
      </c>
      <c r="D104" s="66" t="s">
        <v>598</v>
      </c>
    </row>
    <row r="105" spans="1:4">
      <c r="A105" s="30">
        <f t="shared" si="1"/>
        <v>95</v>
      </c>
      <c r="B105" s="30">
        <v>1</v>
      </c>
      <c r="C105" s="44" t="s">
        <v>612</v>
      </c>
      <c r="D105" s="44" t="s">
        <v>596</v>
      </c>
    </row>
    <row r="106" spans="1:4">
      <c r="A106" s="30">
        <f t="shared" si="1"/>
        <v>96</v>
      </c>
      <c r="B106" s="30">
        <v>3</v>
      </c>
      <c r="C106" s="51" t="s">
        <v>744</v>
      </c>
      <c r="D106" s="558" t="s">
        <v>614</v>
      </c>
    </row>
    <row r="107" spans="1:4">
      <c r="A107" s="30">
        <f t="shared" si="1"/>
        <v>99</v>
      </c>
      <c r="B107" s="30">
        <v>1</v>
      </c>
      <c r="C107" s="44" t="s">
        <v>746</v>
      </c>
      <c r="D107" s="558"/>
    </row>
    <row r="108" spans="1:4">
      <c r="A108" s="30">
        <f t="shared" si="1"/>
        <v>100</v>
      </c>
      <c r="B108" s="30">
        <v>2</v>
      </c>
      <c r="C108" s="44" t="s">
        <v>146</v>
      </c>
      <c r="D108" s="41" t="s">
        <v>617</v>
      </c>
    </row>
    <row r="109" spans="1:4">
      <c r="A109" s="30">
        <f t="shared" si="1"/>
        <v>102</v>
      </c>
      <c r="B109" s="30">
        <v>1</v>
      </c>
      <c r="C109" s="44" t="s">
        <v>618</v>
      </c>
      <c r="D109" s="44" t="s">
        <v>596</v>
      </c>
    </row>
    <row r="110" spans="1:4" ht="27.6">
      <c r="A110" s="30">
        <f t="shared" si="1"/>
        <v>103</v>
      </c>
      <c r="B110" s="30">
        <v>1</v>
      </c>
      <c r="C110" s="51" t="s">
        <v>173</v>
      </c>
      <c r="D110" s="66" t="s">
        <v>598</v>
      </c>
    </row>
    <row r="111" spans="1:4">
      <c r="A111" s="30">
        <f t="shared" si="1"/>
        <v>104</v>
      </c>
      <c r="B111" s="30">
        <v>1</v>
      </c>
      <c r="C111" s="44" t="s">
        <v>619</v>
      </c>
      <c r="D111" s="44" t="s">
        <v>596</v>
      </c>
    </row>
    <row r="112" spans="1:4" ht="27.6">
      <c r="A112" s="30">
        <f t="shared" si="1"/>
        <v>105</v>
      </c>
      <c r="B112" s="30">
        <v>1</v>
      </c>
      <c r="C112" s="51" t="s">
        <v>177</v>
      </c>
      <c r="D112" s="66" t="s">
        <v>598</v>
      </c>
    </row>
    <row r="113" spans="1:4">
      <c r="A113" s="30">
        <f t="shared" si="1"/>
        <v>106</v>
      </c>
      <c r="B113" s="30">
        <v>1</v>
      </c>
      <c r="C113" s="44" t="s">
        <v>620</v>
      </c>
      <c r="D113" s="44" t="s">
        <v>596</v>
      </c>
    </row>
    <row r="114" spans="1:4" ht="27.6">
      <c r="A114" s="30">
        <f t="shared" si="1"/>
        <v>107</v>
      </c>
      <c r="B114" s="30">
        <v>1</v>
      </c>
      <c r="C114" s="51" t="s">
        <v>179</v>
      </c>
      <c r="D114" s="66" t="s">
        <v>598</v>
      </c>
    </row>
    <row r="115" spans="1:4">
      <c r="A115" s="30">
        <f t="shared" si="1"/>
        <v>108</v>
      </c>
      <c r="B115" s="30">
        <v>1</v>
      </c>
      <c r="C115" s="44" t="s">
        <v>1371</v>
      </c>
      <c r="D115" s="44" t="s">
        <v>596</v>
      </c>
    </row>
    <row r="116" spans="1:4" ht="27.6">
      <c r="A116" s="30">
        <f t="shared" si="1"/>
        <v>109</v>
      </c>
      <c r="B116" s="30">
        <v>1</v>
      </c>
      <c r="C116" s="51" t="s">
        <v>180</v>
      </c>
      <c r="D116" s="66" t="s">
        <v>598</v>
      </c>
    </row>
    <row r="117" spans="1:4">
      <c r="A117" s="30">
        <f t="shared" si="1"/>
        <v>110</v>
      </c>
      <c r="B117" s="30">
        <v>1</v>
      </c>
      <c r="C117" s="44" t="s">
        <v>1372</v>
      </c>
      <c r="D117" s="44" t="s">
        <v>596</v>
      </c>
    </row>
    <row r="118" spans="1:4" ht="27.6">
      <c r="A118" s="30">
        <f t="shared" si="1"/>
        <v>111</v>
      </c>
      <c r="B118" s="30">
        <v>1</v>
      </c>
      <c r="C118" s="51" t="s">
        <v>182</v>
      </c>
      <c r="D118" s="66" t="s">
        <v>598</v>
      </c>
    </row>
    <row r="119" spans="1:4">
      <c r="A119" s="30">
        <f t="shared" si="1"/>
        <v>112</v>
      </c>
      <c r="B119" s="30">
        <v>1</v>
      </c>
      <c r="C119" s="44" t="s">
        <v>1373</v>
      </c>
      <c r="D119" s="44" t="s">
        <v>596</v>
      </c>
    </row>
    <row r="120" spans="1:4" ht="41.4">
      <c r="A120" s="30">
        <f t="shared" si="1"/>
        <v>113</v>
      </c>
      <c r="B120" s="30">
        <v>1</v>
      </c>
      <c r="C120" s="44" t="s">
        <v>1374</v>
      </c>
      <c r="D120" s="66" t="s">
        <v>1375</v>
      </c>
    </row>
    <row r="121" spans="1:4">
      <c r="A121" s="30">
        <f t="shared" si="1"/>
        <v>114</v>
      </c>
      <c r="B121" s="30">
        <v>1</v>
      </c>
      <c r="C121" s="44" t="s">
        <v>1376</v>
      </c>
      <c r="D121" s="44" t="s">
        <v>596</v>
      </c>
    </row>
    <row r="122" spans="1:4" ht="13.8">
      <c r="A122" s="30">
        <f t="shared" si="1"/>
        <v>115</v>
      </c>
      <c r="B122" s="30">
        <v>2</v>
      </c>
      <c r="C122" s="44" t="s">
        <v>632</v>
      </c>
      <c r="D122" s="66" t="s">
        <v>633</v>
      </c>
    </row>
    <row r="123" spans="1:4">
      <c r="A123" s="30">
        <f t="shared" si="1"/>
        <v>117</v>
      </c>
      <c r="B123" s="30">
        <v>1</v>
      </c>
      <c r="C123" s="44" t="s">
        <v>635</v>
      </c>
      <c r="D123" s="44" t="s">
        <v>596</v>
      </c>
    </row>
    <row r="124" spans="1:4" ht="105.6">
      <c r="A124" s="30">
        <f t="shared" si="1"/>
        <v>118</v>
      </c>
      <c r="B124" s="30">
        <v>8</v>
      </c>
      <c r="C124" s="44" t="s">
        <v>636</v>
      </c>
      <c r="D124" s="51" t="s">
        <v>637</v>
      </c>
    </row>
    <row r="125" spans="1:4">
      <c r="A125" s="30">
        <f t="shared" si="1"/>
        <v>126</v>
      </c>
      <c r="B125" s="30">
        <v>1</v>
      </c>
      <c r="C125" s="44" t="s">
        <v>638</v>
      </c>
      <c r="D125" s="44" t="s">
        <v>596</v>
      </c>
    </row>
    <row r="126" spans="1:4" ht="79.2">
      <c r="A126" s="30">
        <f t="shared" si="1"/>
        <v>127</v>
      </c>
      <c r="B126" s="30">
        <v>6</v>
      </c>
      <c r="C126" s="44" t="s">
        <v>639</v>
      </c>
      <c r="D126" s="51" t="s">
        <v>640</v>
      </c>
    </row>
    <row r="127" spans="1:4">
      <c r="A127" s="30">
        <f t="shared" si="1"/>
        <v>133</v>
      </c>
      <c r="B127" s="30">
        <v>1</v>
      </c>
      <c r="C127" s="44" t="s">
        <v>641</v>
      </c>
      <c r="D127" s="44" t="s">
        <v>596</v>
      </c>
    </row>
    <row r="128" spans="1:4">
      <c r="A128" s="30">
        <f t="shared" si="1"/>
        <v>134</v>
      </c>
      <c r="B128" s="30">
        <v>2</v>
      </c>
      <c r="C128" s="30" t="s">
        <v>127</v>
      </c>
      <c r="D128" s="41" t="s">
        <v>128</v>
      </c>
    </row>
    <row r="129" spans="1:4" ht="22.8">
      <c r="A129" s="30">
        <f t="shared" si="1"/>
        <v>136</v>
      </c>
      <c r="B129" s="30">
        <v>4</v>
      </c>
      <c r="C129" s="30" t="s">
        <v>129</v>
      </c>
      <c r="D129" s="41" t="s">
        <v>130</v>
      </c>
    </row>
    <row r="130" spans="1:4">
      <c r="A130" s="30">
        <f t="shared" si="1"/>
        <v>140</v>
      </c>
      <c r="B130" s="30">
        <v>1</v>
      </c>
      <c r="C130" s="30" t="s">
        <v>131</v>
      </c>
      <c r="D130" s="41" t="s">
        <v>132</v>
      </c>
    </row>
    <row r="131" spans="1:4">
      <c r="A131" s="30">
        <f t="shared" si="1"/>
        <v>141</v>
      </c>
      <c r="B131" s="53" t="s">
        <v>486</v>
      </c>
    </row>
  </sheetData>
  <mergeCells count="5">
    <mergeCell ref="A2:E2"/>
    <mergeCell ref="A4:E4"/>
    <mergeCell ref="D21:D79"/>
    <mergeCell ref="D106:D107"/>
    <mergeCell ref="A6:E10"/>
  </mergeCells>
  <pageMargins left="0.69861111111111096" right="0.69861111111111096" top="0.75" bottom="0.75" header="0.3" footer="0.3"/>
  <headerFooter scaleWithDoc="0"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62"/>
  <sheetViews>
    <sheetView topLeftCell="A123" workbookViewId="0">
      <selection activeCell="D54" sqref="D54"/>
    </sheetView>
  </sheetViews>
  <sheetFormatPr defaultColWidth="9.109375" defaultRowHeight="13.2"/>
  <cols>
    <col min="1" max="1" width="24.44140625" style="67" customWidth="1"/>
    <col min="2" max="2" width="17.6640625" style="67"/>
    <col min="3" max="3" width="39.21875" style="67"/>
    <col min="4" max="4" width="27.109375" style="68" customWidth="1"/>
    <col min="5" max="5" width="31.21875" style="69" customWidth="1"/>
  </cols>
  <sheetData>
    <row r="1" spans="1:5" ht="15">
      <c r="A1" s="550"/>
      <c r="B1" s="550"/>
    </row>
    <row r="2" spans="1:5" ht="15">
      <c r="A2" s="555" t="s">
        <v>108</v>
      </c>
      <c r="B2" s="555"/>
      <c r="C2" s="555"/>
      <c r="D2" s="555"/>
      <c r="E2" s="555"/>
    </row>
    <row r="4" spans="1:5" ht="15">
      <c r="A4" s="555" t="s">
        <v>109</v>
      </c>
      <c r="B4" s="555"/>
      <c r="C4" s="555"/>
      <c r="D4" s="555"/>
      <c r="E4" s="555"/>
    </row>
    <row r="6" spans="1:5" ht="15">
      <c r="A6" s="72" t="s">
        <v>110</v>
      </c>
      <c r="B6" s="72" t="s">
        <v>111</v>
      </c>
      <c r="C6" s="73" t="s">
        <v>112</v>
      </c>
      <c r="D6" s="74" t="s">
        <v>113</v>
      </c>
      <c r="E6" s="70"/>
    </row>
    <row r="7" spans="1:5">
      <c r="A7" s="67">
        <v>0</v>
      </c>
      <c r="B7" s="67">
        <v>1</v>
      </c>
      <c r="C7" s="67" t="s">
        <v>114</v>
      </c>
      <c r="D7" s="68" t="s">
        <v>115</v>
      </c>
    </row>
    <row r="8" spans="1:5" ht="22.8">
      <c r="A8" s="67">
        <f t="shared" ref="A8:A17" si="0">A7+B7</f>
        <v>1</v>
      </c>
      <c r="B8" s="67">
        <v>1</v>
      </c>
      <c r="C8" s="67" t="s">
        <v>116</v>
      </c>
      <c r="D8" s="68" t="s">
        <v>117</v>
      </c>
    </row>
    <row r="9" spans="1:5">
      <c r="A9" s="67">
        <f t="shared" si="0"/>
        <v>2</v>
      </c>
      <c r="B9" s="67">
        <v>1</v>
      </c>
      <c r="C9" s="67" t="s">
        <v>118</v>
      </c>
      <c r="D9" s="68" t="s">
        <v>119</v>
      </c>
    </row>
    <row r="10" spans="1:5" ht="26.4">
      <c r="A10" s="67">
        <f t="shared" si="0"/>
        <v>3</v>
      </c>
      <c r="B10" s="67">
        <v>2</v>
      </c>
      <c r="C10" s="40" t="s">
        <v>120</v>
      </c>
      <c r="D10" s="68" t="str">
        <f>DEC2HEX(A17-5)</f>
        <v>C</v>
      </c>
      <c r="E10" s="75"/>
    </row>
    <row r="11" spans="1:5" ht="22.8">
      <c r="A11" s="67">
        <f t="shared" si="0"/>
        <v>5</v>
      </c>
      <c r="B11" s="67">
        <v>2</v>
      </c>
      <c r="C11" s="76" t="s">
        <v>121</v>
      </c>
      <c r="D11" s="68" t="s">
        <v>122</v>
      </c>
    </row>
    <row r="12" spans="1:5" ht="22.8">
      <c r="A12" s="67">
        <f t="shared" si="0"/>
        <v>7</v>
      </c>
      <c r="B12" s="67">
        <v>2</v>
      </c>
      <c r="C12" s="76" t="s">
        <v>123</v>
      </c>
      <c r="D12" s="68" t="s">
        <v>124</v>
      </c>
    </row>
    <row r="13" spans="1:5">
      <c r="A13" s="67">
        <f t="shared" si="0"/>
        <v>9</v>
      </c>
      <c r="B13" s="67">
        <v>1</v>
      </c>
      <c r="C13" s="76" t="s">
        <v>125</v>
      </c>
      <c r="D13" s="68" t="s">
        <v>126</v>
      </c>
    </row>
    <row r="14" spans="1:5" ht="22.8">
      <c r="A14" s="67">
        <f t="shared" si="0"/>
        <v>10</v>
      </c>
      <c r="B14" s="67">
        <v>2</v>
      </c>
      <c r="C14" s="30" t="s">
        <v>127</v>
      </c>
      <c r="D14" s="68" t="s">
        <v>128</v>
      </c>
    </row>
    <row r="15" spans="1:5" ht="34.200000000000003">
      <c r="A15" s="67">
        <f t="shared" si="0"/>
        <v>12</v>
      </c>
      <c r="B15" s="67">
        <v>4</v>
      </c>
      <c r="C15" s="67" t="s">
        <v>129</v>
      </c>
      <c r="D15" s="68" t="s">
        <v>130</v>
      </c>
    </row>
    <row r="16" spans="1:5">
      <c r="A16" s="67">
        <f t="shared" si="0"/>
        <v>16</v>
      </c>
      <c r="B16" s="67">
        <v>1</v>
      </c>
      <c r="C16" s="67" t="s">
        <v>131</v>
      </c>
      <c r="D16" s="68" t="s">
        <v>132</v>
      </c>
    </row>
    <row r="17" spans="1:5">
      <c r="A17" s="67">
        <f t="shared" si="0"/>
        <v>17</v>
      </c>
      <c r="C17" s="76"/>
    </row>
    <row r="18" spans="1:5">
      <c r="C18" s="76"/>
    </row>
    <row r="19" spans="1:5" ht="15">
      <c r="A19" s="550"/>
      <c r="B19" s="550"/>
      <c r="C19" s="76"/>
    </row>
    <row r="20" spans="1:5" ht="15">
      <c r="A20" s="555" t="s">
        <v>133</v>
      </c>
      <c r="B20" s="555"/>
      <c r="C20" s="555"/>
      <c r="D20" s="555"/>
      <c r="E20" s="555"/>
    </row>
    <row r="21" spans="1:5" ht="15">
      <c r="A21" s="71"/>
      <c r="B21" s="71"/>
      <c r="C21" s="71"/>
      <c r="D21" s="77"/>
    </row>
    <row r="22" spans="1:5" ht="15">
      <c r="A22" s="555" t="s">
        <v>1425</v>
      </c>
      <c r="B22" s="555"/>
      <c r="C22" s="555"/>
      <c r="D22" s="555"/>
      <c r="E22" s="555"/>
    </row>
    <row r="24" spans="1:5">
      <c r="A24" s="55" t="s">
        <v>110</v>
      </c>
      <c r="B24" s="78" t="s">
        <v>111</v>
      </c>
      <c r="C24" s="79" t="s">
        <v>112</v>
      </c>
      <c r="D24" s="75" t="s">
        <v>113</v>
      </c>
      <c r="E24" s="80"/>
    </row>
    <row r="25" spans="1:5">
      <c r="A25" s="78">
        <v>0</v>
      </c>
      <c r="B25" s="78">
        <v>1</v>
      </c>
      <c r="C25" s="78" t="s">
        <v>135</v>
      </c>
      <c r="D25" s="68" t="s">
        <v>115</v>
      </c>
      <c r="E25" s="81"/>
    </row>
    <row r="26" spans="1:5" ht="22.8">
      <c r="A26" s="78">
        <f>A25+B25</f>
        <v>1</v>
      </c>
      <c r="B26" s="78">
        <v>1</v>
      </c>
      <c r="C26" s="78" t="s">
        <v>136</v>
      </c>
      <c r="D26" s="68" t="s">
        <v>137</v>
      </c>
      <c r="E26" s="81"/>
    </row>
    <row r="27" spans="1:5">
      <c r="A27" s="78">
        <f t="shared" ref="A27:A63" si="1">A26+B26</f>
        <v>2</v>
      </c>
      <c r="B27" s="78">
        <v>1</v>
      </c>
      <c r="C27" s="78" t="s">
        <v>138</v>
      </c>
      <c r="D27" s="68" t="s">
        <v>139</v>
      </c>
      <c r="E27" s="81"/>
    </row>
    <row r="28" spans="1:5">
      <c r="A28" s="78">
        <f t="shared" si="1"/>
        <v>3</v>
      </c>
      <c r="B28" s="78">
        <v>3</v>
      </c>
      <c r="C28" s="55" t="s">
        <v>1426</v>
      </c>
      <c r="D28" s="56" t="s">
        <v>1427</v>
      </c>
      <c r="E28" s="75"/>
    </row>
    <row r="29" spans="1:5">
      <c r="A29" s="78">
        <f t="shared" si="1"/>
        <v>6</v>
      </c>
      <c r="B29" s="80"/>
      <c r="C29" s="82" t="s">
        <v>142</v>
      </c>
      <c r="E29" s="81"/>
    </row>
    <row r="30" spans="1:5" ht="34.200000000000003">
      <c r="A30" s="78">
        <f t="shared" si="1"/>
        <v>6</v>
      </c>
      <c r="B30" s="78">
        <v>1</v>
      </c>
      <c r="C30" s="78" t="s">
        <v>143</v>
      </c>
      <c r="D30" s="68" t="s">
        <v>144</v>
      </c>
      <c r="E30" s="81"/>
    </row>
    <row r="31" spans="1:5" ht="34.200000000000003">
      <c r="A31" s="78">
        <f t="shared" si="1"/>
        <v>7</v>
      </c>
      <c r="B31" s="80" t="s">
        <v>145</v>
      </c>
      <c r="C31" s="80" t="s">
        <v>146</v>
      </c>
      <c r="D31" s="68" t="s">
        <v>147</v>
      </c>
      <c r="E31" s="81"/>
    </row>
    <row r="32" spans="1:5" ht="34.200000000000003">
      <c r="A32" s="78">
        <f t="shared" si="1"/>
        <v>9</v>
      </c>
      <c r="B32" s="80" t="s">
        <v>148</v>
      </c>
      <c r="C32" s="83" t="s">
        <v>149</v>
      </c>
      <c r="D32" s="68" t="s">
        <v>150</v>
      </c>
      <c r="E32" s="81"/>
    </row>
    <row r="33" spans="1:5" ht="45.6">
      <c r="A33" s="78">
        <f t="shared" si="1"/>
        <v>12</v>
      </c>
      <c r="B33" s="80" t="s">
        <v>151</v>
      </c>
      <c r="C33" s="83" t="s">
        <v>152</v>
      </c>
      <c r="D33" s="68" t="s">
        <v>153</v>
      </c>
      <c r="E33" s="81"/>
    </row>
    <row r="34" spans="1:5" ht="57">
      <c r="A34" s="78">
        <f t="shared" si="1"/>
        <v>16</v>
      </c>
      <c r="B34" s="80" t="s">
        <v>148</v>
      </c>
      <c r="C34" s="80" t="s">
        <v>154</v>
      </c>
      <c r="D34" s="68" t="s">
        <v>155</v>
      </c>
      <c r="E34" s="81"/>
    </row>
    <row r="35" spans="1:5" ht="45.6">
      <c r="A35" s="78">
        <f t="shared" si="1"/>
        <v>19</v>
      </c>
      <c r="B35" s="80" t="s">
        <v>151</v>
      </c>
      <c r="C35" s="83" t="s">
        <v>156</v>
      </c>
      <c r="D35" s="68" t="s">
        <v>157</v>
      </c>
      <c r="E35" s="81"/>
    </row>
    <row r="36" spans="1:5" ht="45.6">
      <c r="A36" s="78">
        <f t="shared" si="1"/>
        <v>23</v>
      </c>
      <c r="B36" s="80" t="s">
        <v>151</v>
      </c>
      <c r="C36" s="80" t="s">
        <v>158</v>
      </c>
      <c r="D36" s="68" t="s">
        <v>157</v>
      </c>
      <c r="E36" s="81"/>
    </row>
    <row r="37" spans="1:5" ht="45.6">
      <c r="A37" s="78">
        <f t="shared" si="1"/>
        <v>27</v>
      </c>
      <c r="B37" s="80" t="s">
        <v>151</v>
      </c>
      <c r="C37" s="80" t="s">
        <v>159</v>
      </c>
      <c r="D37" s="68" t="s">
        <v>157</v>
      </c>
      <c r="E37" s="81"/>
    </row>
    <row r="38" spans="1:5" ht="45.6">
      <c r="A38" s="78">
        <f t="shared" si="1"/>
        <v>31</v>
      </c>
      <c r="B38" s="80" t="s">
        <v>151</v>
      </c>
      <c r="C38" s="80" t="s">
        <v>160</v>
      </c>
      <c r="D38" s="68" t="s">
        <v>157</v>
      </c>
      <c r="E38" s="81"/>
    </row>
    <row r="39" spans="1:5" ht="34.200000000000003">
      <c r="A39" s="78">
        <f t="shared" si="1"/>
        <v>35</v>
      </c>
      <c r="B39" s="80" t="s">
        <v>151</v>
      </c>
      <c r="C39" s="80" t="s">
        <v>161</v>
      </c>
      <c r="D39" s="68" t="s">
        <v>150</v>
      </c>
      <c r="E39" s="81"/>
    </row>
    <row r="40" spans="1:5" ht="34.200000000000003">
      <c r="A40" s="78">
        <f t="shared" si="1"/>
        <v>39</v>
      </c>
      <c r="B40" s="80" t="s">
        <v>151</v>
      </c>
      <c r="C40" s="80" t="s">
        <v>162</v>
      </c>
      <c r="D40" s="68" t="s">
        <v>150</v>
      </c>
      <c r="E40" s="81"/>
    </row>
    <row r="41" spans="1:5" ht="57">
      <c r="A41" s="78">
        <f t="shared" si="1"/>
        <v>43</v>
      </c>
      <c r="B41" s="80" t="s">
        <v>163</v>
      </c>
      <c r="C41" s="80" t="s">
        <v>164</v>
      </c>
      <c r="D41" s="84" t="s">
        <v>165</v>
      </c>
      <c r="E41" s="81"/>
    </row>
    <row r="42" spans="1:5" ht="45.6">
      <c r="A42" s="78">
        <f t="shared" si="1"/>
        <v>44</v>
      </c>
      <c r="B42" s="80" t="s">
        <v>163</v>
      </c>
      <c r="C42" s="80" t="s">
        <v>168</v>
      </c>
      <c r="D42" s="84" t="s">
        <v>169</v>
      </c>
      <c r="E42" s="81"/>
    </row>
    <row r="43" spans="1:5">
      <c r="A43" s="78">
        <f t="shared" si="1"/>
        <v>45</v>
      </c>
      <c r="B43" s="80">
        <v>10</v>
      </c>
      <c r="C43" s="80" t="s">
        <v>170</v>
      </c>
      <c r="D43" s="85" t="s">
        <v>171</v>
      </c>
      <c r="E43" s="81"/>
    </row>
    <row r="44" spans="1:5">
      <c r="A44" s="78">
        <f t="shared" si="1"/>
        <v>55</v>
      </c>
      <c r="B44" s="80"/>
      <c r="C44" s="86" t="s">
        <v>172</v>
      </c>
      <c r="E44" s="81"/>
    </row>
    <row r="45" spans="1:5" ht="34.200000000000003">
      <c r="A45" s="78">
        <f t="shared" si="1"/>
        <v>55</v>
      </c>
      <c r="B45" s="80" t="s">
        <v>163</v>
      </c>
      <c r="C45" s="80" t="s">
        <v>173</v>
      </c>
      <c r="D45" s="68" t="s">
        <v>174</v>
      </c>
      <c r="E45" s="81"/>
    </row>
    <row r="46" spans="1:5">
      <c r="A46" s="78">
        <f t="shared" si="1"/>
        <v>56</v>
      </c>
      <c r="B46" s="80" t="s">
        <v>163</v>
      </c>
      <c r="C46" s="80" t="s">
        <v>177</v>
      </c>
      <c r="D46" s="575" t="s">
        <v>178</v>
      </c>
      <c r="E46" s="81"/>
    </row>
    <row r="47" spans="1:5">
      <c r="A47" s="78">
        <f t="shared" si="1"/>
        <v>57</v>
      </c>
      <c r="B47" s="80" t="s">
        <v>163</v>
      </c>
      <c r="C47" s="80" t="s">
        <v>179</v>
      </c>
      <c r="D47" s="576"/>
      <c r="E47" s="81"/>
    </row>
    <row r="48" spans="1:5">
      <c r="A48" s="78">
        <f t="shared" si="1"/>
        <v>58</v>
      </c>
      <c r="B48" s="80" t="s">
        <v>163</v>
      </c>
      <c r="C48" s="80" t="s">
        <v>180</v>
      </c>
      <c r="D48" s="576"/>
      <c r="E48" s="81"/>
    </row>
    <row r="49" spans="1:5">
      <c r="A49" s="78">
        <f t="shared" si="1"/>
        <v>59</v>
      </c>
      <c r="B49" s="80" t="s">
        <v>163</v>
      </c>
      <c r="C49" s="80" t="s">
        <v>181</v>
      </c>
      <c r="D49" s="576"/>
      <c r="E49" s="81"/>
    </row>
    <row r="50" spans="1:5">
      <c r="A50" s="78">
        <f t="shared" si="1"/>
        <v>60</v>
      </c>
      <c r="B50" s="87">
        <v>1</v>
      </c>
      <c r="C50" s="88" t="s">
        <v>182</v>
      </c>
      <c r="D50" s="577"/>
      <c r="E50" s="90"/>
    </row>
    <row r="51" spans="1:5">
      <c r="A51" s="78">
        <f t="shared" si="1"/>
        <v>61</v>
      </c>
      <c r="B51" s="80"/>
      <c r="C51" s="82" t="s">
        <v>183</v>
      </c>
      <c r="D51" s="91"/>
      <c r="E51" s="81"/>
    </row>
    <row r="52" spans="1:5" ht="79.8">
      <c r="A52" s="78">
        <f t="shared" si="1"/>
        <v>61</v>
      </c>
      <c r="B52" s="80" t="s">
        <v>163</v>
      </c>
      <c r="C52" s="80" t="s">
        <v>184</v>
      </c>
      <c r="D52" s="49" t="s">
        <v>1428</v>
      </c>
      <c r="E52" s="81"/>
    </row>
    <row r="53" spans="1:5" ht="45.6">
      <c r="A53" s="78">
        <f t="shared" si="1"/>
        <v>62</v>
      </c>
      <c r="B53" s="78" t="s">
        <v>151</v>
      </c>
      <c r="C53" s="78" t="s">
        <v>186</v>
      </c>
      <c r="D53" s="68" t="s">
        <v>157</v>
      </c>
      <c r="E53" s="81"/>
    </row>
    <row r="54" spans="1:5" ht="34.200000000000003">
      <c r="A54" s="78">
        <f t="shared" si="1"/>
        <v>66</v>
      </c>
      <c r="B54" s="78" t="s">
        <v>163</v>
      </c>
      <c r="C54" s="80" t="s">
        <v>187</v>
      </c>
      <c r="D54" s="92" t="s">
        <v>188</v>
      </c>
      <c r="E54" s="81"/>
    </row>
    <row r="55" spans="1:5" ht="34.200000000000003">
      <c r="A55" s="78">
        <f t="shared" si="1"/>
        <v>67</v>
      </c>
      <c r="B55" s="80">
        <v>3</v>
      </c>
      <c r="C55" s="80" t="s">
        <v>195</v>
      </c>
      <c r="D55" s="68" t="s">
        <v>196</v>
      </c>
      <c r="E55" s="81"/>
    </row>
    <row r="56" spans="1:5">
      <c r="A56" s="78">
        <f t="shared" si="1"/>
        <v>70</v>
      </c>
      <c r="B56" s="78" t="s">
        <v>163</v>
      </c>
      <c r="C56" s="78" t="s">
        <v>197</v>
      </c>
      <c r="D56" s="570" t="s">
        <v>144</v>
      </c>
      <c r="E56" s="81"/>
    </row>
    <row r="57" spans="1:5">
      <c r="A57" s="78">
        <f t="shared" si="1"/>
        <v>71</v>
      </c>
      <c r="B57" s="80" t="s">
        <v>163</v>
      </c>
      <c r="C57" s="78" t="s">
        <v>1429</v>
      </c>
      <c r="D57" s="570"/>
      <c r="E57" s="81"/>
    </row>
    <row r="58" spans="1:5">
      <c r="A58" s="78">
        <f t="shared" si="1"/>
        <v>72</v>
      </c>
      <c r="B58" s="80" t="s">
        <v>151</v>
      </c>
      <c r="C58" s="78" t="s">
        <v>200</v>
      </c>
      <c r="D58" s="93"/>
      <c r="E58" s="81"/>
    </row>
    <row r="59" spans="1:5">
      <c r="A59" s="78">
        <f t="shared" si="1"/>
        <v>76</v>
      </c>
      <c r="B59" s="80" t="s">
        <v>151</v>
      </c>
      <c r="C59" s="78" t="s">
        <v>201</v>
      </c>
      <c r="D59" s="93"/>
      <c r="E59" s="81"/>
    </row>
    <row r="60" spans="1:5" ht="45.6">
      <c r="A60" s="78">
        <f t="shared" si="1"/>
        <v>80</v>
      </c>
      <c r="B60" s="80" t="s">
        <v>148</v>
      </c>
      <c r="C60" s="80" t="s">
        <v>202</v>
      </c>
      <c r="D60" s="94" t="s">
        <v>203</v>
      </c>
      <c r="E60" s="81"/>
    </row>
    <row r="61" spans="1:5" ht="34.200000000000003">
      <c r="A61" s="78">
        <f t="shared" si="1"/>
        <v>83</v>
      </c>
      <c r="B61" s="87">
        <v>2</v>
      </c>
      <c r="C61" s="88" t="s">
        <v>204</v>
      </c>
      <c r="D61" s="68" t="s">
        <v>205</v>
      </c>
      <c r="E61" s="81"/>
    </row>
    <row r="62" spans="1:5" ht="34.200000000000003">
      <c r="A62" s="78">
        <f t="shared" si="1"/>
        <v>85</v>
      </c>
      <c r="B62" s="87">
        <v>2</v>
      </c>
      <c r="C62" s="88" t="s">
        <v>1430</v>
      </c>
      <c r="D62" s="68" t="s">
        <v>205</v>
      </c>
      <c r="E62" s="81"/>
    </row>
    <row r="63" spans="1:5">
      <c r="A63" s="78">
        <f t="shared" si="1"/>
        <v>87</v>
      </c>
      <c r="B63" s="80"/>
      <c r="C63" s="82" t="s">
        <v>218</v>
      </c>
      <c r="E63" s="81"/>
    </row>
    <row r="64" spans="1:5" ht="34.200000000000003">
      <c r="A64" s="78">
        <f t="shared" ref="A64:A76" si="2">A63+B63</f>
        <v>87</v>
      </c>
      <c r="B64" s="80" t="s">
        <v>148</v>
      </c>
      <c r="C64" s="95" t="s">
        <v>592</v>
      </c>
      <c r="D64" s="68" t="s">
        <v>220</v>
      </c>
      <c r="E64" s="81"/>
    </row>
    <row r="65" spans="1:5" ht="34.200000000000003">
      <c r="A65" s="78">
        <f t="shared" si="2"/>
        <v>90</v>
      </c>
      <c r="B65" s="80">
        <v>3</v>
      </c>
      <c r="C65" s="95" t="s">
        <v>1431</v>
      </c>
      <c r="D65" s="68" t="s">
        <v>220</v>
      </c>
      <c r="E65" s="81"/>
    </row>
    <row r="66" spans="1:5">
      <c r="A66" s="78">
        <f t="shared" si="2"/>
        <v>93</v>
      </c>
      <c r="B66" s="80" t="s">
        <v>163</v>
      </c>
      <c r="C66" s="80" t="s">
        <v>224</v>
      </c>
      <c r="D66" s="578" t="s">
        <v>144</v>
      </c>
      <c r="E66" s="81"/>
    </row>
    <row r="67" spans="1:5">
      <c r="A67" s="78">
        <f t="shared" si="2"/>
        <v>94</v>
      </c>
      <c r="B67" s="80" t="s">
        <v>163</v>
      </c>
      <c r="C67" s="80" t="s">
        <v>1432</v>
      </c>
      <c r="D67" s="579"/>
      <c r="E67" s="81"/>
    </row>
    <row r="68" spans="1:5">
      <c r="A68" s="78">
        <f t="shared" si="2"/>
        <v>95</v>
      </c>
      <c r="B68" s="80" t="s">
        <v>163</v>
      </c>
      <c r="C68" s="80" t="s">
        <v>1433</v>
      </c>
      <c r="D68" s="579"/>
      <c r="E68" s="81"/>
    </row>
    <row r="69" spans="1:5">
      <c r="A69" s="78">
        <f t="shared" si="2"/>
        <v>96</v>
      </c>
      <c r="B69" s="80" t="s">
        <v>163</v>
      </c>
      <c r="C69" s="80" t="s">
        <v>1434</v>
      </c>
      <c r="D69" s="579"/>
      <c r="E69" s="81"/>
    </row>
    <row r="70" spans="1:5">
      <c r="A70" s="78">
        <f t="shared" si="2"/>
        <v>97</v>
      </c>
      <c r="B70" s="80" t="s">
        <v>163</v>
      </c>
      <c r="C70" s="80" t="s">
        <v>1435</v>
      </c>
      <c r="D70" s="579"/>
      <c r="E70" s="81"/>
    </row>
    <row r="71" spans="1:5">
      <c r="A71" s="78">
        <f t="shared" si="2"/>
        <v>98</v>
      </c>
      <c r="B71" s="80" t="s">
        <v>163</v>
      </c>
      <c r="C71" s="80" t="s">
        <v>1436</v>
      </c>
      <c r="D71" s="580"/>
      <c r="E71" s="81"/>
    </row>
    <row r="72" spans="1:5" ht="34.200000000000003">
      <c r="A72" s="78">
        <f t="shared" si="2"/>
        <v>99</v>
      </c>
      <c r="B72" s="80">
        <v>1</v>
      </c>
      <c r="C72" s="80" t="s">
        <v>738</v>
      </c>
      <c r="D72" s="96" t="s">
        <v>1437</v>
      </c>
      <c r="E72" s="81"/>
    </row>
    <row r="73" spans="1:5" ht="57">
      <c r="A73" s="78">
        <f t="shared" si="2"/>
        <v>100</v>
      </c>
      <c r="B73" s="78" t="s">
        <v>148</v>
      </c>
      <c r="C73" s="78" t="s">
        <v>1438</v>
      </c>
      <c r="D73" s="68" t="s">
        <v>236</v>
      </c>
      <c r="E73" s="81"/>
    </row>
    <row r="74" spans="1:5">
      <c r="A74" s="78">
        <f t="shared" si="2"/>
        <v>103</v>
      </c>
      <c r="B74" s="97"/>
      <c r="C74" s="82" t="s">
        <v>258</v>
      </c>
      <c r="D74" s="98"/>
      <c r="E74" s="99"/>
    </row>
    <row r="75" spans="1:5" ht="45.6">
      <c r="A75" s="78">
        <f t="shared" si="2"/>
        <v>103</v>
      </c>
      <c r="B75" s="78">
        <v>3</v>
      </c>
      <c r="C75" s="78" t="s">
        <v>307</v>
      </c>
      <c r="D75" s="100" t="s">
        <v>267</v>
      </c>
      <c r="E75" s="81"/>
    </row>
    <row r="76" spans="1:5">
      <c r="A76" s="78">
        <f t="shared" si="2"/>
        <v>106</v>
      </c>
      <c r="B76" s="78">
        <v>4</v>
      </c>
      <c r="C76" s="101" t="s">
        <v>387</v>
      </c>
      <c r="D76" s="581" t="s">
        <v>277</v>
      </c>
      <c r="E76" s="81"/>
    </row>
    <row r="77" spans="1:5">
      <c r="A77" s="78">
        <f t="shared" ref="A77:A98" si="3">A76+B76</f>
        <v>110</v>
      </c>
      <c r="B77" s="78" t="s">
        <v>151</v>
      </c>
      <c r="C77" s="101" t="s">
        <v>1439</v>
      </c>
      <c r="D77" s="582"/>
      <c r="E77" s="81"/>
    </row>
    <row r="78" spans="1:5">
      <c r="A78" s="78">
        <f t="shared" si="3"/>
        <v>114</v>
      </c>
      <c r="B78" s="78" t="s">
        <v>151</v>
      </c>
      <c r="C78" s="101" t="s">
        <v>379</v>
      </c>
      <c r="D78" s="582"/>
      <c r="E78" s="81"/>
    </row>
    <row r="79" spans="1:5">
      <c r="A79" s="78"/>
      <c r="B79" s="78">
        <v>4</v>
      </c>
      <c r="C79" s="81" t="s">
        <v>1440</v>
      </c>
      <c r="D79" s="582"/>
      <c r="E79" s="81"/>
    </row>
    <row r="80" spans="1:5">
      <c r="A80" s="78">
        <f>A78+B78</f>
        <v>118</v>
      </c>
      <c r="B80" s="78" t="s">
        <v>151</v>
      </c>
      <c r="C80" s="101" t="s">
        <v>281</v>
      </c>
      <c r="D80" s="582"/>
    </row>
    <row r="81" spans="1:5">
      <c r="A81" s="78">
        <f>A80+B80</f>
        <v>122</v>
      </c>
      <c r="B81" s="78" t="s">
        <v>145</v>
      </c>
      <c r="C81" s="78" t="s">
        <v>282</v>
      </c>
      <c r="D81" s="570" t="s">
        <v>283</v>
      </c>
    </row>
    <row r="82" spans="1:5">
      <c r="A82" s="78">
        <f>A81+B81</f>
        <v>124</v>
      </c>
      <c r="B82" s="78" t="s">
        <v>145</v>
      </c>
      <c r="C82" s="80" t="s">
        <v>284</v>
      </c>
      <c r="D82" s="570"/>
    </row>
    <row r="83" spans="1:5">
      <c r="A83" s="78">
        <f t="shared" si="3"/>
        <v>126</v>
      </c>
      <c r="B83" s="80">
        <v>4</v>
      </c>
      <c r="C83" s="102" t="s">
        <v>1441</v>
      </c>
      <c r="D83" s="68" t="s">
        <v>1442</v>
      </c>
    </row>
    <row r="84" spans="1:5">
      <c r="A84" s="78">
        <f t="shared" si="3"/>
        <v>130</v>
      </c>
      <c r="B84" s="80">
        <v>4</v>
      </c>
      <c r="C84" s="102" t="s">
        <v>1443</v>
      </c>
      <c r="D84" s="68" t="s">
        <v>1442</v>
      </c>
    </row>
    <row r="85" spans="1:5">
      <c r="A85" s="78">
        <f t="shared" si="3"/>
        <v>134</v>
      </c>
      <c r="B85" s="80">
        <v>4</v>
      </c>
      <c r="C85" s="78" t="s">
        <v>1444</v>
      </c>
      <c r="D85" s="68" t="s">
        <v>1442</v>
      </c>
      <c r="E85" s="101"/>
    </row>
    <row r="86" spans="1:5">
      <c r="A86" s="78">
        <f t="shared" si="3"/>
        <v>138</v>
      </c>
      <c r="B86" s="80">
        <v>4</v>
      </c>
      <c r="C86" s="103" t="s">
        <v>1445</v>
      </c>
      <c r="D86" s="68" t="s">
        <v>1442</v>
      </c>
      <c r="E86" s="101"/>
    </row>
    <row r="87" spans="1:5">
      <c r="A87" s="78">
        <f>A84+B84</f>
        <v>134</v>
      </c>
      <c r="B87" s="80">
        <v>4</v>
      </c>
      <c r="C87" s="101" t="s">
        <v>1446</v>
      </c>
      <c r="D87" s="68" t="s">
        <v>1442</v>
      </c>
    </row>
    <row r="88" spans="1:5">
      <c r="A88" s="78">
        <f t="shared" si="3"/>
        <v>138</v>
      </c>
      <c r="B88" s="80">
        <v>4</v>
      </c>
      <c r="C88" s="101" t="s">
        <v>1447</v>
      </c>
      <c r="D88" s="68" t="s">
        <v>1442</v>
      </c>
    </row>
    <row r="89" spans="1:5">
      <c r="A89" s="78">
        <f t="shared" si="3"/>
        <v>142</v>
      </c>
      <c r="B89" s="80">
        <v>4</v>
      </c>
      <c r="C89" s="103" t="s">
        <v>1448</v>
      </c>
      <c r="D89" s="68" t="s">
        <v>1442</v>
      </c>
    </row>
    <row r="90" spans="1:5">
      <c r="A90" s="78">
        <f t="shared" si="3"/>
        <v>146</v>
      </c>
      <c r="B90" s="80">
        <v>4</v>
      </c>
      <c r="C90" s="101" t="s">
        <v>1449</v>
      </c>
      <c r="D90" s="68" t="s">
        <v>1442</v>
      </c>
    </row>
    <row r="91" spans="1:5">
      <c r="A91" s="78">
        <f t="shared" si="3"/>
        <v>150</v>
      </c>
      <c r="B91" s="80">
        <v>4</v>
      </c>
      <c r="C91" s="103" t="s">
        <v>1450</v>
      </c>
      <c r="D91" s="68" t="s">
        <v>1442</v>
      </c>
      <c r="E91" s="81"/>
    </row>
    <row r="92" spans="1:5">
      <c r="A92" s="78">
        <f t="shared" si="3"/>
        <v>154</v>
      </c>
      <c r="B92" s="80">
        <v>4</v>
      </c>
      <c r="C92" s="101" t="s">
        <v>1451</v>
      </c>
      <c r="D92" s="68" t="s">
        <v>1442</v>
      </c>
    </row>
    <row r="93" spans="1:5">
      <c r="A93" s="78">
        <f t="shared" si="3"/>
        <v>158</v>
      </c>
      <c r="B93" s="80">
        <v>4</v>
      </c>
      <c r="C93" s="104" t="s">
        <v>1452</v>
      </c>
      <c r="D93" s="68" t="s">
        <v>1442</v>
      </c>
      <c r="E93" s="81"/>
    </row>
    <row r="94" spans="1:5">
      <c r="A94" s="78">
        <f t="shared" si="3"/>
        <v>162</v>
      </c>
      <c r="B94" s="80">
        <v>4</v>
      </c>
      <c r="C94" s="101" t="s">
        <v>1453</v>
      </c>
      <c r="D94" s="68" t="s">
        <v>1442</v>
      </c>
      <c r="E94" s="81"/>
    </row>
    <row r="95" spans="1:5">
      <c r="A95" s="78">
        <f t="shared" si="3"/>
        <v>166</v>
      </c>
      <c r="B95" s="80">
        <v>4</v>
      </c>
      <c r="C95" s="103" t="s">
        <v>1454</v>
      </c>
      <c r="D95" s="68" t="s">
        <v>1442</v>
      </c>
      <c r="E95" s="81"/>
    </row>
    <row r="96" spans="1:5">
      <c r="A96" s="78">
        <f t="shared" si="3"/>
        <v>170</v>
      </c>
      <c r="B96" s="80">
        <v>4</v>
      </c>
      <c r="C96" s="105" t="s">
        <v>1455</v>
      </c>
      <c r="D96" s="68" t="s">
        <v>1442</v>
      </c>
    </row>
    <row r="97" spans="1:5">
      <c r="A97" s="78">
        <f t="shared" si="3"/>
        <v>174</v>
      </c>
      <c r="B97" s="78">
        <v>1</v>
      </c>
      <c r="C97" s="101" t="s">
        <v>1456</v>
      </c>
      <c r="D97" s="106" t="s">
        <v>1457</v>
      </c>
    </row>
    <row r="98" spans="1:5">
      <c r="A98" s="78">
        <f t="shared" si="3"/>
        <v>175</v>
      </c>
      <c r="B98" s="80"/>
      <c r="C98" s="86" t="s">
        <v>301</v>
      </c>
      <c r="E98" s="81"/>
    </row>
    <row r="99" spans="1:5">
      <c r="A99" s="78">
        <f t="shared" ref="A99:A115" si="4">A98+B98</f>
        <v>175</v>
      </c>
      <c r="B99" s="80" t="s">
        <v>163</v>
      </c>
      <c r="C99" s="107" t="s">
        <v>1458</v>
      </c>
      <c r="D99" s="575" t="s">
        <v>174</v>
      </c>
      <c r="E99" s="81"/>
    </row>
    <row r="100" spans="1:5">
      <c r="A100" s="78">
        <f t="shared" si="4"/>
        <v>176</v>
      </c>
      <c r="B100" s="80" t="s">
        <v>163</v>
      </c>
      <c r="C100" s="108" t="s">
        <v>1459</v>
      </c>
      <c r="D100" s="576"/>
      <c r="E100" s="81"/>
    </row>
    <row r="101" spans="1:5">
      <c r="A101" s="78">
        <f t="shared" si="4"/>
        <v>177</v>
      </c>
      <c r="B101" s="80" t="s">
        <v>163</v>
      </c>
      <c r="C101" s="108" t="s">
        <v>305</v>
      </c>
      <c r="D101" s="576"/>
      <c r="E101" s="81"/>
    </row>
    <row r="102" spans="1:5">
      <c r="A102" s="78">
        <f t="shared" si="4"/>
        <v>178</v>
      </c>
      <c r="B102" s="80" t="s">
        <v>163</v>
      </c>
      <c r="C102" s="108" t="s">
        <v>306</v>
      </c>
      <c r="D102" s="576"/>
      <c r="E102" s="81"/>
    </row>
    <row r="103" spans="1:5">
      <c r="A103" s="78">
        <f t="shared" si="4"/>
        <v>179</v>
      </c>
      <c r="B103" s="80" t="s">
        <v>163</v>
      </c>
      <c r="C103" s="108" t="s">
        <v>307</v>
      </c>
      <c r="D103" s="576"/>
      <c r="E103" s="81"/>
    </row>
    <row r="104" spans="1:5">
      <c r="A104" s="78">
        <f t="shared" si="4"/>
        <v>180</v>
      </c>
      <c r="B104" s="80" t="s">
        <v>163</v>
      </c>
      <c r="C104" s="109" t="s">
        <v>1460</v>
      </c>
      <c r="D104" s="576"/>
      <c r="E104" s="81"/>
    </row>
    <row r="105" spans="1:5">
      <c r="A105" s="78">
        <f t="shared" si="4"/>
        <v>181</v>
      </c>
      <c r="B105" s="80" t="s">
        <v>163</v>
      </c>
      <c r="C105" s="109" t="s">
        <v>1461</v>
      </c>
      <c r="D105" s="576"/>
      <c r="E105" s="81"/>
    </row>
    <row r="106" spans="1:5">
      <c r="A106" s="78">
        <f t="shared" si="4"/>
        <v>182</v>
      </c>
      <c r="B106" s="80" t="s">
        <v>163</v>
      </c>
      <c r="C106" s="109" t="s">
        <v>1462</v>
      </c>
      <c r="D106" s="576"/>
      <c r="E106" s="81"/>
    </row>
    <row r="107" spans="1:5">
      <c r="A107" s="78">
        <f t="shared" si="4"/>
        <v>183</v>
      </c>
      <c r="B107" s="80" t="s">
        <v>163</v>
      </c>
      <c r="C107" s="109" t="s">
        <v>1463</v>
      </c>
      <c r="D107" s="576"/>
      <c r="E107" s="81"/>
    </row>
    <row r="108" spans="1:5">
      <c r="A108" s="78">
        <f t="shared" si="4"/>
        <v>184</v>
      </c>
      <c r="B108" s="80" t="s">
        <v>163</v>
      </c>
      <c r="C108" s="109" t="s">
        <v>1464</v>
      </c>
      <c r="D108" s="576"/>
      <c r="E108" s="81"/>
    </row>
    <row r="109" spans="1:5">
      <c r="A109" s="78">
        <f t="shared" si="4"/>
        <v>185</v>
      </c>
      <c r="B109" s="80" t="s">
        <v>163</v>
      </c>
      <c r="C109" s="109" t="s">
        <v>1465</v>
      </c>
      <c r="D109" s="576"/>
      <c r="E109" s="81"/>
    </row>
    <row r="110" spans="1:5">
      <c r="A110" s="78">
        <f t="shared" si="4"/>
        <v>186</v>
      </c>
      <c r="B110" s="80" t="s">
        <v>163</v>
      </c>
      <c r="C110" s="109" t="s">
        <v>1466</v>
      </c>
      <c r="D110" s="576"/>
      <c r="E110" s="81"/>
    </row>
    <row r="111" spans="1:5">
      <c r="A111" s="78">
        <f t="shared" si="4"/>
        <v>187</v>
      </c>
      <c r="B111" s="87"/>
      <c r="C111" s="86" t="s">
        <v>323</v>
      </c>
      <c r="D111" s="89"/>
      <c r="E111" s="90"/>
    </row>
    <row r="112" spans="1:5">
      <c r="A112" s="78">
        <f t="shared" si="4"/>
        <v>187</v>
      </c>
      <c r="B112" s="80" t="s">
        <v>163</v>
      </c>
      <c r="C112" s="110" t="s">
        <v>1467</v>
      </c>
      <c r="D112" s="575" t="s">
        <v>178</v>
      </c>
      <c r="E112" s="90"/>
    </row>
    <row r="113" spans="1:5">
      <c r="A113" s="78">
        <f t="shared" si="4"/>
        <v>188</v>
      </c>
      <c r="B113" s="80" t="s">
        <v>163</v>
      </c>
      <c r="C113" s="110" t="s">
        <v>1468</v>
      </c>
      <c r="D113" s="576"/>
      <c r="E113" s="90"/>
    </row>
    <row r="114" spans="1:5">
      <c r="A114" s="78">
        <f t="shared" si="4"/>
        <v>189</v>
      </c>
      <c r="B114" s="80" t="s">
        <v>163</v>
      </c>
      <c r="C114" s="110" t="s">
        <v>1469</v>
      </c>
      <c r="D114" s="576"/>
      <c r="E114" s="90"/>
    </row>
    <row r="115" spans="1:5">
      <c r="A115" s="78">
        <f t="shared" si="4"/>
        <v>190</v>
      </c>
      <c r="B115" s="88">
        <v>100</v>
      </c>
      <c r="C115" s="111" t="s">
        <v>346</v>
      </c>
      <c r="D115" s="88" t="s">
        <v>347</v>
      </c>
      <c r="E115" s="112"/>
    </row>
    <row r="116" spans="1:5">
      <c r="A116" s="78">
        <f t="shared" ref="A116:A162" si="5">A115+B115</f>
        <v>290</v>
      </c>
      <c r="B116" s="80"/>
      <c r="C116" s="86" t="s">
        <v>366</v>
      </c>
      <c r="E116" s="81"/>
    </row>
    <row r="117" spans="1:5" ht="57">
      <c r="A117" s="78">
        <f t="shared" si="5"/>
        <v>290</v>
      </c>
      <c r="B117" s="78" t="s">
        <v>163</v>
      </c>
      <c r="C117" s="78" t="s">
        <v>367</v>
      </c>
      <c r="D117" s="113" t="s">
        <v>368</v>
      </c>
      <c r="E117" s="81">
        <v>0</v>
      </c>
    </row>
    <row r="118" spans="1:5" ht="34.200000000000003">
      <c r="A118" s="78">
        <f t="shared" si="5"/>
        <v>291</v>
      </c>
      <c r="B118" s="78" t="s">
        <v>163</v>
      </c>
      <c r="C118" s="78" t="s">
        <v>369</v>
      </c>
      <c r="D118" s="68" t="s">
        <v>144</v>
      </c>
      <c r="E118" s="81">
        <f>E117+B117</f>
        <v>1</v>
      </c>
    </row>
    <row r="119" spans="1:5" ht="34.200000000000003">
      <c r="A119" s="78">
        <f t="shared" si="5"/>
        <v>292</v>
      </c>
      <c r="B119" s="78" t="s">
        <v>145</v>
      </c>
      <c r="C119" s="78" t="s">
        <v>370</v>
      </c>
      <c r="D119" s="68" t="s">
        <v>371</v>
      </c>
      <c r="E119" s="81">
        <f t="shared" ref="E119:E151" si="6">E118+B118</f>
        <v>2</v>
      </c>
    </row>
    <row r="120" spans="1:5" ht="34.200000000000003">
      <c r="A120" s="78">
        <f t="shared" si="5"/>
        <v>294</v>
      </c>
      <c r="B120" s="80" t="s">
        <v>145</v>
      </c>
      <c r="C120" s="78" t="s">
        <v>373</v>
      </c>
      <c r="D120" s="68" t="s">
        <v>374</v>
      </c>
      <c r="E120" s="81">
        <f t="shared" si="6"/>
        <v>4</v>
      </c>
    </row>
    <row r="121" spans="1:5" ht="114">
      <c r="A121" s="78">
        <f t="shared" si="5"/>
        <v>296</v>
      </c>
      <c r="B121" s="78" t="s">
        <v>148</v>
      </c>
      <c r="C121" s="78" t="s">
        <v>375</v>
      </c>
      <c r="D121" s="68" t="s">
        <v>376</v>
      </c>
      <c r="E121" s="81">
        <f t="shared" si="6"/>
        <v>6</v>
      </c>
    </row>
    <row r="122" spans="1:5" ht="125.4">
      <c r="A122" s="78">
        <f t="shared" si="5"/>
        <v>299</v>
      </c>
      <c r="B122" s="78" t="s">
        <v>151</v>
      </c>
      <c r="C122" s="78" t="s">
        <v>377</v>
      </c>
      <c r="D122" s="114" t="s">
        <v>378</v>
      </c>
      <c r="E122" s="81">
        <f t="shared" si="6"/>
        <v>9</v>
      </c>
    </row>
    <row r="123" spans="1:5" ht="136.80000000000001">
      <c r="A123" s="78">
        <f t="shared" si="5"/>
        <v>303</v>
      </c>
      <c r="B123" s="78" t="s">
        <v>151</v>
      </c>
      <c r="C123" s="78" t="s">
        <v>379</v>
      </c>
      <c r="D123" s="114" t="s">
        <v>277</v>
      </c>
      <c r="E123" s="81">
        <f t="shared" si="6"/>
        <v>13</v>
      </c>
    </row>
    <row r="124" spans="1:5" ht="296.39999999999998">
      <c r="A124" s="78">
        <f t="shared" si="5"/>
        <v>307</v>
      </c>
      <c r="B124" s="78" t="s">
        <v>163</v>
      </c>
      <c r="C124" s="78" t="s">
        <v>380</v>
      </c>
      <c r="D124" s="115" t="s">
        <v>381</v>
      </c>
      <c r="E124" s="81">
        <f t="shared" si="6"/>
        <v>17</v>
      </c>
    </row>
    <row r="125" spans="1:5" ht="102.6">
      <c r="A125" s="78">
        <f t="shared" si="5"/>
        <v>308</v>
      </c>
      <c r="B125" s="78" t="s">
        <v>163</v>
      </c>
      <c r="C125" s="78" t="s">
        <v>383</v>
      </c>
      <c r="D125" s="116" t="s">
        <v>384</v>
      </c>
      <c r="E125" s="81">
        <f t="shared" si="6"/>
        <v>18</v>
      </c>
    </row>
    <row r="126" spans="1:5">
      <c r="A126" s="78">
        <f t="shared" si="5"/>
        <v>309</v>
      </c>
      <c r="B126" s="78" t="s">
        <v>151</v>
      </c>
      <c r="C126" s="78" t="s">
        <v>386</v>
      </c>
      <c r="D126" s="568" t="s">
        <v>277</v>
      </c>
      <c r="E126" s="81">
        <f t="shared" si="6"/>
        <v>19</v>
      </c>
    </row>
    <row r="127" spans="1:5">
      <c r="A127" s="78">
        <f t="shared" si="5"/>
        <v>313</v>
      </c>
      <c r="B127" s="78" t="s">
        <v>151</v>
      </c>
      <c r="C127" s="78" t="s">
        <v>387</v>
      </c>
      <c r="D127" s="568"/>
      <c r="E127" s="81">
        <f t="shared" si="6"/>
        <v>23</v>
      </c>
    </row>
    <row r="128" spans="1:5" ht="34.200000000000003">
      <c r="A128" s="78">
        <f t="shared" si="5"/>
        <v>317</v>
      </c>
      <c r="B128" s="80" t="s">
        <v>163</v>
      </c>
      <c r="C128" s="80" t="s">
        <v>388</v>
      </c>
      <c r="D128" s="68" t="s">
        <v>174</v>
      </c>
      <c r="E128" s="81">
        <f t="shared" si="6"/>
        <v>27</v>
      </c>
    </row>
    <row r="129" spans="1:5">
      <c r="A129" s="78">
        <f t="shared" si="5"/>
        <v>318</v>
      </c>
      <c r="B129" s="117" t="s">
        <v>163</v>
      </c>
      <c r="C129" s="78" t="s">
        <v>389</v>
      </c>
      <c r="D129" s="570" t="s">
        <v>390</v>
      </c>
      <c r="E129" s="81">
        <f t="shared" si="6"/>
        <v>28</v>
      </c>
    </row>
    <row r="130" spans="1:5">
      <c r="A130" s="78">
        <f t="shared" si="5"/>
        <v>319</v>
      </c>
      <c r="B130" s="80" t="s">
        <v>163</v>
      </c>
      <c r="C130" s="78" t="s">
        <v>391</v>
      </c>
      <c r="D130" s="570"/>
      <c r="E130" s="81">
        <f t="shared" si="6"/>
        <v>29</v>
      </c>
    </row>
    <row r="131" spans="1:5" ht="34.200000000000003">
      <c r="A131" s="78">
        <f t="shared" si="5"/>
        <v>320</v>
      </c>
      <c r="B131" s="80" t="s">
        <v>145</v>
      </c>
      <c r="C131" s="78" t="s">
        <v>392</v>
      </c>
      <c r="D131" s="68" t="s">
        <v>393</v>
      </c>
      <c r="E131" s="81">
        <f t="shared" si="6"/>
        <v>30</v>
      </c>
    </row>
    <row r="132" spans="1:5" ht="34.200000000000003">
      <c r="A132" s="78">
        <f t="shared" si="5"/>
        <v>322</v>
      </c>
      <c r="B132" s="80" t="s">
        <v>163</v>
      </c>
      <c r="C132" s="80" t="s">
        <v>394</v>
      </c>
      <c r="D132" s="68" t="s">
        <v>144</v>
      </c>
      <c r="E132" s="81">
        <f t="shared" si="6"/>
        <v>32</v>
      </c>
    </row>
    <row r="133" spans="1:5" ht="79.8">
      <c r="A133" s="78">
        <f t="shared" si="5"/>
        <v>323</v>
      </c>
      <c r="B133" s="80" t="s">
        <v>163</v>
      </c>
      <c r="C133" s="80" t="s">
        <v>395</v>
      </c>
      <c r="D133" s="32" t="s">
        <v>396</v>
      </c>
      <c r="E133" s="81">
        <f t="shared" si="6"/>
        <v>33</v>
      </c>
    </row>
    <row r="134" spans="1:5" ht="34.200000000000003">
      <c r="A134" s="78">
        <f t="shared" si="5"/>
        <v>324</v>
      </c>
      <c r="B134" s="80" t="s">
        <v>163</v>
      </c>
      <c r="C134" s="80" t="s">
        <v>397</v>
      </c>
      <c r="D134" s="68" t="s">
        <v>144</v>
      </c>
      <c r="E134" s="81">
        <f t="shared" si="6"/>
        <v>34</v>
      </c>
    </row>
    <row r="135" spans="1:5" ht="125.4">
      <c r="A135" s="78">
        <f t="shared" si="5"/>
        <v>325</v>
      </c>
      <c r="B135" s="78">
        <v>5</v>
      </c>
      <c r="C135" s="78" t="s">
        <v>398</v>
      </c>
      <c r="D135" s="113" t="s">
        <v>399</v>
      </c>
      <c r="E135" s="81">
        <f t="shared" si="6"/>
        <v>35</v>
      </c>
    </row>
    <row r="136" spans="1:5" ht="136.80000000000001">
      <c r="A136" s="78">
        <f t="shared" si="5"/>
        <v>330</v>
      </c>
      <c r="B136" s="78">
        <v>4</v>
      </c>
      <c r="C136" s="80" t="s">
        <v>400</v>
      </c>
      <c r="D136" s="68" t="s">
        <v>401</v>
      </c>
      <c r="E136" s="81">
        <f t="shared" si="6"/>
        <v>40</v>
      </c>
    </row>
    <row r="137" spans="1:5" ht="79.8">
      <c r="A137" s="78">
        <f t="shared" si="5"/>
        <v>334</v>
      </c>
      <c r="B137" s="80">
        <v>1</v>
      </c>
      <c r="C137" s="55" t="s">
        <v>402</v>
      </c>
      <c r="D137" s="118" t="s">
        <v>403</v>
      </c>
      <c r="E137" s="81">
        <f t="shared" si="6"/>
        <v>44</v>
      </c>
    </row>
    <row r="138" spans="1:5">
      <c r="A138" s="78">
        <f t="shared" si="5"/>
        <v>335</v>
      </c>
      <c r="B138" s="87">
        <v>1</v>
      </c>
      <c r="C138" s="88" t="s">
        <v>404</v>
      </c>
      <c r="D138" s="570" t="s">
        <v>144</v>
      </c>
      <c r="E138" s="81">
        <f t="shared" si="6"/>
        <v>45</v>
      </c>
    </row>
    <row r="139" spans="1:5">
      <c r="A139" s="78">
        <f t="shared" si="5"/>
        <v>336</v>
      </c>
      <c r="B139" s="87">
        <v>1</v>
      </c>
      <c r="C139" s="88" t="s">
        <v>405</v>
      </c>
      <c r="D139" s="570"/>
      <c r="E139" s="81">
        <f t="shared" si="6"/>
        <v>46</v>
      </c>
    </row>
    <row r="140" spans="1:5" ht="34.200000000000003">
      <c r="A140" s="78">
        <f t="shared" si="5"/>
        <v>337</v>
      </c>
      <c r="B140" s="87">
        <v>2</v>
      </c>
      <c r="C140" s="88" t="s">
        <v>406</v>
      </c>
      <c r="D140" s="68" t="s">
        <v>205</v>
      </c>
      <c r="E140" s="81">
        <f t="shared" si="6"/>
        <v>47</v>
      </c>
    </row>
    <row r="141" spans="1:5" ht="34.200000000000003">
      <c r="A141" s="78">
        <f t="shared" si="5"/>
        <v>339</v>
      </c>
      <c r="B141" s="88">
        <v>1</v>
      </c>
      <c r="C141" s="88" t="s">
        <v>407</v>
      </c>
      <c r="D141" s="119" t="s">
        <v>408</v>
      </c>
      <c r="E141" s="81">
        <f t="shared" si="6"/>
        <v>49</v>
      </c>
    </row>
    <row r="142" spans="1:5" ht="34.200000000000003">
      <c r="A142" s="78">
        <f t="shared" si="5"/>
        <v>340</v>
      </c>
      <c r="B142" s="88">
        <v>1</v>
      </c>
      <c r="C142" s="88" t="s">
        <v>409</v>
      </c>
      <c r="D142" s="119" t="s">
        <v>408</v>
      </c>
      <c r="E142" s="81">
        <f t="shared" si="6"/>
        <v>50</v>
      </c>
    </row>
    <row r="143" spans="1:5" ht="34.200000000000003">
      <c r="A143" s="78">
        <f t="shared" si="5"/>
        <v>341</v>
      </c>
      <c r="B143" s="88">
        <v>1</v>
      </c>
      <c r="C143" s="88" t="s">
        <v>410</v>
      </c>
      <c r="D143" s="119" t="s">
        <v>408</v>
      </c>
      <c r="E143" s="81">
        <f t="shared" si="6"/>
        <v>51</v>
      </c>
    </row>
    <row r="144" spans="1:5" ht="34.200000000000003">
      <c r="A144" s="78">
        <f t="shared" si="5"/>
        <v>342</v>
      </c>
      <c r="B144" s="88">
        <v>1</v>
      </c>
      <c r="C144" s="88" t="s">
        <v>411</v>
      </c>
      <c r="D144" s="119" t="s">
        <v>408</v>
      </c>
      <c r="E144" s="81">
        <f t="shared" si="6"/>
        <v>52</v>
      </c>
    </row>
    <row r="145" spans="1:5" ht="34.200000000000003">
      <c r="A145" s="78">
        <f t="shared" si="5"/>
        <v>343</v>
      </c>
      <c r="B145" s="88">
        <v>4</v>
      </c>
      <c r="C145" s="88" t="s">
        <v>412</v>
      </c>
      <c r="D145" s="120" t="s">
        <v>413</v>
      </c>
      <c r="E145" s="81">
        <f t="shared" si="6"/>
        <v>53</v>
      </c>
    </row>
    <row r="146" spans="1:5" ht="34.200000000000003">
      <c r="A146" s="78">
        <f t="shared" si="5"/>
        <v>347</v>
      </c>
      <c r="B146" s="88">
        <v>4</v>
      </c>
      <c r="C146" s="88" t="s">
        <v>414</v>
      </c>
      <c r="D146" s="120" t="s">
        <v>413</v>
      </c>
      <c r="E146" s="81">
        <f t="shared" si="6"/>
        <v>57</v>
      </c>
    </row>
    <row r="147" spans="1:5" ht="34.200000000000003">
      <c r="A147" s="78">
        <f t="shared" si="5"/>
        <v>351</v>
      </c>
      <c r="B147" s="88">
        <v>1</v>
      </c>
      <c r="C147" s="88" t="s">
        <v>415</v>
      </c>
      <c r="D147" s="120" t="s">
        <v>416</v>
      </c>
      <c r="E147" s="81">
        <f t="shared" si="6"/>
        <v>61</v>
      </c>
    </row>
    <row r="148" spans="1:5" ht="34.200000000000003">
      <c r="A148" s="78">
        <f t="shared" si="5"/>
        <v>352</v>
      </c>
      <c r="B148" s="88">
        <v>1</v>
      </c>
      <c r="C148" s="88" t="s">
        <v>417</v>
      </c>
      <c r="D148" s="119" t="s">
        <v>408</v>
      </c>
      <c r="E148" s="81">
        <f t="shared" si="6"/>
        <v>62</v>
      </c>
    </row>
    <row r="149" spans="1:5" ht="34.200000000000003">
      <c r="A149" s="78">
        <f t="shared" si="5"/>
        <v>353</v>
      </c>
      <c r="B149" s="88">
        <v>1</v>
      </c>
      <c r="C149" s="88" t="s">
        <v>418</v>
      </c>
      <c r="D149" s="119" t="s">
        <v>408</v>
      </c>
      <c r="E149" s="81">
        <f t="shared" si="6"/>
        <v>63</v>
      </c>
    </row>
    <row r="150" spans="1:5">
      <c r="A150" s="78">
        <f t="shared" si="5"/>
        <v>354</v>
      </c>
      <c r="B150" s="88">
        <v>1</v>
      </c>
      <c r="C150" s="88" t="s">
        <v>419</v>
      </c>
      <c r="D150" s="88" t="s">
        <v>347</v>
      </c>
      <c r="E150" s="81">
        <f t="shared" si="6"/>
        <v>64</v>
      </c>
    </row>
    <row r="151" spans="1:5">
      <c r="A151" s="78">
        <f t="shared" si="5"/>
        <v>355</v>
      </c>
      <c r="B151" s="78"/>
      <c r="C151" s="80"/>
      <c r="E151" s="81">
        <f t="shared" si="6"/>
        <v>65</v>
      </c>
    </row>
    <row r="152" spans="1:5">
      <c r="A152" s="78">
        <f t="shared" si="5"/>
        <v>355</v>
      </c>
      <c r="B152" s="80">
        <v>65</v>
      </c>
      <c r="C152" s="81" t="s">
        <v>420</v>
      </c>
      <c r="D152" s="570" t="s">
        <v>421</v>
      </c>
      <c r="E152" s="81"/>
    </row>
    <row r="153" spans="1:5">
      <c r="A153" s="78">
        <f t="shared" si="5"/>
        <v>420</v>
      </c>
      <c r="B153" s="80">
        <v>65</v>
      </c>
      <c r="C153" s="81" t="s">
        <v>422</v>
      </c>
      <c r="D153" s="570"/>
      <c r="E153" s="81"/>
    </row>
    <row r="154" spans="1:5">
      <c r="A154" s="78">
        <f t="shared" si="5"/>
        <v>485</v>
      </c>
      <c r="B154" s="80">
        <v>65</v>
      </c>
      <c r="C154" s="81" t="s">
        <v>423</v>
      </c>
      <c r="D154" s="570"/>
      <c r="E154" s="81"/>
    </row>
    <row r="155" spans="1:5">
      <c r="A155" s="78">
        <f t="shared" si="5"/>
        <v>550</v>
      </c>
      <c r="B155" s="80">
        <v>65</v>
      </c>
      <c r="C155" s="81" t="s">
        <v>424</v>
      </c>
      <c r="D155" s="570"/>
      <c r="E155" s="81"/>
    </row>
    <row r="156" spans="1:5">
      <c r="A156" s="78">
        <f t="shared" si="5"/>
        <v>615</v>
      </c>
      <c r="B156" s="80">
        <v>65</v>
      </c>
      <c r="C156" s="81" t="s">
        <v>425</v>
      </c>
      <c r="D156" s="570"/>
      <c r="E156" s="81"/>
    </row>
    <row r="157" spans="1:5" ht="34.200000000000003">
      <c r="A157" s="78">
        <f t="shared" si="5"/>
        <v>680</v>
      </c>
      <c r="B157" s="78">
        <v>2</v>
      </c>
      <c r="C157" s="78" t="s">
        <v>121</v>
      </c>
      <c r="D157" s="68" t="s">
        <v>482</v>
      </c>
      <c r="E157" s="81"/>
    </row>
    <row r="158" spans="1:5" ht="22.8">
      <c r="A158" s="78">
        <f t="shared" si="5"/>
        <v>682</v>
      </c>
      <c r="B158" s="78">
        <v>1</v>
      </c>
      <c r="C158" s="78" t="s">
        <v>125</v>
      </c>
      <c r="D158" s="68" t="s">
        <v>483</v>
      </c>
      <c r="E158" s="81"/>
    </row>
    <row r="159" spans="1:5" ht="34.200000000000003">
      <c r="A159" s="78">
        <f t="shared" si="5"/>
        <v>683</v>
      </c>
      <c r="B159" s="80">
        <v>2</v>
      </c>
      <c r="C159" s="121" t="s">
        <v>127</v>
      </c>
      <c r="D159" s="68" t="s">
        <v>484</v>
      </c>
      <c r="E159" s="81"/>
    </row>
    <row r="160" spans="1:5" ht="45.6">
      <c r="A160" s="78">
        <f t="shared" si="5"/>
        <v>685</v>
      </c>
      <c r="B160" s="80">
        <v>4</v>
      </c>
      <c r="C160" s="80" t="s">
        <v>129</v>
      </c>
      <c r="D160" s="68" t="s">
        <v>485</v>
      </c>
      <c r="E160" s="81"/>
    </row>
    <row r="161" spans="1:5">
      <c r="A161" s="78">
        <f t="shared" si="5"/>
        <v>689</v>
      </c>
      <c r="B161" s="80">
        <v>1</v>
      </c>
      <c r="C161" s="80" t="s">
        <v>131</v>
      </c>
      <c r="D161" s="68" t="s">
        <v>132</v>
      </c>
      <c r="E161" s="81"/>
    </row>
    <row r="162" spans="1:5">
      <c r="A162" s="78">
        <f t="shared" si="5"/>
        <v>690</v>
      </c>
      <c r="B162" s="86" t="s">
        <v>486</v>
      </c>
      <c r="C162" s="80"/>
      <c r="E162" s="81"/>
    </row>
  </sheetData>
  <mergeCells count="17">
    <mergeCell ref="D138:D139"/>
    <mergeCell ref="D152:D156"/>
    <mergeCell ref="D81:D82"/>
    <mergeCell ref="D99:D110"/>
    <mergeCell ref="D112:D114"/>
    <mergeCell ref="D126:D127"/>
    <mergeCell ref="D129:D130"/>
    <mergeCell ref="A22:E22"/>
    <mergeCell ref="D46:D50"/>
    <mergeCell ref="D56:D57"/>
    <mergeCell ref="D66:D71"/>
    <mergeCell ref="D76:D80"/>
    <mergeCell ref="A1:B1"/>
    <mergeCell ref="A2:E2"/>
    <mergeCell ref="A4:E4"/>
    <mergeCell ref="A19:B19"/>
    <mergeCell ref="A20:E20"/>
  </mergeCells>
  <pageMargins left="0.69861111111111096" right="0.69861111111111096" top="0.75" bottom="0.75" header="0.3" footer="0.3"/>
  <headerFooter scaleWithDoc="0"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8"/>
  <sheetViews>
    <sheetView workbookViewId="0">
      <selection activeCell="D18" sqref="D18:D76"/>
    </sheetView>
  </sheetViews>
  <sheetFormatPr defaultColWidth="9.109375" defaultRowHeight="13.2"/>
  <cols>
    <col min="1" max="1" width="24.6640625" style="30" customWidth="1"/>
    <col min="2" max="2" width="17.6640625" style="30" customWidth="1"/>
    <col min="3" max="3" width="26" style="31" customWidth="1"/>
    <col min="4" max="4" width="48.88671875" style="41" customWidth="1"/>
    <col min="5" max="5" width="31.21875" style="33" customWidth="1"/>
  </cols>
  <sheetData>
    <row r="1" spans="1:5" ht="15">
      <c r="A1" s="34"/>
      <c r="B1" s="34"/>
    </row>
    <row r="2" spans="1:5" ht="15">
      <c r="A2" s="556" t="s">
        <v>54</v>
      </c>
      <c r="B2" s="556"/>
      <c r="C2" s="556"/>
      <c r="D2" s="556"/>
      <c r="E2" s="556"/>
    </row>
    <row r="4" spans="1:5" ht="15">
      <c r="A4" s="556" t="s">
        <v>523</v>
      </c>
      <c r="B4" s="556"/>
      <c r="C4" s="556"/>
      <c r="D4" s="556"/>
      <c r="E4" s="556"/>
    </row>
    <row r="5" spans="1:5" ht="15">
      <c r="A5" s="35"/>
      <c r="B5" s="35"/>
      <c r="D5" s="61"/>
    </row>
    <row r="6" spans="1:5">
      <c r="A6" s="557" t="s">
        <v>1470</v>
      </c>
      <c r="B6" s="557"/>
      <c r="C6" s="557"/>
      <c r="D6" s="557"/>
      <c r="E6" s="557"/>
    </row>
    <row r="7" spans="1:5">
      <c r="A7" s="557"/>
      <c r="B7" s="557"/>
      <c r="C7" s="557"/>
      <c r="D7" s="557"/>
      <c r="E7" s="557"/>
    </row>
    <row r="8" spans="1:5">
      <c r="A8" s="62"/>
      <c r="B8" s="62"/>
      <c r="C8" s="62"/>
      <c r="D8" s="62"/>
      <c r="E8" s="62"/>
    </row>
    <row r="10" spans="1:5" ht="15">
      <c r="A10" s="37" t="s">
        <v>110</v>
      </c>
      <c r="B10" s="37" t="s">
        <v>111</v>
      </c>
      <c r="C10" s="38" t="s">
        <v>112</v>
      </c>
      <c r="D10" s="63" t="s">
        <v>113</v>
      </c>
      <c r="E10" s="34"/>
    </row>
    <row r="11" spans="1:5">
      <c r="A11" s="30">
        <v>0</v>
      </c>
      <c r="B11" s="30">
        <v>1</v>
      </c>
      <c r="C11" s="31" t="s">
        <v>114</v>
      </c>
      <c r="D11" s="41" t="s">
        <v>115</v>
      </c>
    </row>
    <row r="12" spans="1:5">
      <c r="A12" s="30">
        <f t="shared" ref="A12:A75" si="0">A11+B11</f>
        <v>1</v>
      </c>
      <c r="B12" s="30">
        <v>1</v>
      </c>
      <c r="C12" s="31" t="s">
        <v>116</v>
      </c>
      <c r="D12" s="41" t="s">
        <v>117</v>
      </c>
    </row>
    <row r="13" spans="1:5">
      <c r="A13" s="30">
        <f t="shared" si="0"/>
        <v>2</v>
      </c>
      <c r="B13" s="30">
        <v>1</v>
      </c>
      <c r="C13" s="31" t="s">
        <v>525</v>
      </c>
      <c r="D13" s="41" t="s">
        <v>526</v>
      </c>
    </row>
    <row r="14" spans="1:5" ht="39.6">
      <c r="A14" s="30">
        <f t="shared" si="0"/>
        <v>3</v>
      </c>
      <c r="B14" s="30">
        <v>3</v>
      </c>
      <c r="C14" s="40" t="s">
        <v>120</v>
      </c>
      <c r="D14" s="55" t="str">
        <f>DEC2HEX(A128-5)</f>
        <v>88</v>
      </c>
      <c r="E14" s="41"/>
    </row>
    <row r="15" spans="1:5">
      <c r="A15" s="30">
        <f t="shared" si="0"/>
        <v>6</v>
      </c>
      <c r="B15" s="30">
        <v>1</v>
      </c>
      <c r="C15" s="64" t="s">
        <v>527</v>
      </c>
      <c r="D15" s="55" t="s">
        <v>528</v>
      </c>
      <c r="E15" s="41"/>
    </row>
    <row r="16" spans="1:5">
      <c r="A16" s="30">
        <f t="shared" si="0"/>
        <v>7</v>
      </c>
      <c r="B16" s="30">
        <v>1</v>
      </c>
      <c r="C16" s="64" t="s">
        <v>116</v>
      </c>
      <c r="D16" s="55" t="s">
        <v>529</v>
      </c>
      <c r="E16" s="41"/>
    </row>
    <row r="17" spans="1:4" ht="136.80000000000001">
      <c r="A17" s="30">
        <f t="shared" si="0"/>
        <v>8</v>
      </c>
      <c r="B17" s="30">
        <v>1</v>
      </c>
      <c r="C17" s="45" t="s">
        <v>530</v>
      </c>
      <c r="D17" s="41" t="s">
        <v>531</v>
      </c>
    </row>
    <row r="18" spans="1:4">
      <c r="A18" s="30">
        <f t="shared" si="0"/>
        <v>9</v>
      </c>
      <c r="B18" s="30">
        <v>1</v>
      </c>
      <c r="C18" s="45" t="s">
        <v>532</v>
      </c>
      <c r="D18" s="573" t="s">
        <v>533</v>
      </c>
    </row>
    <row r="19" spans="1:4">
      <c r="A19" s="30">
        <f t="shared" si="0"/>
        <v>10</v>
      </c>
      <c r="B19" s="30">
        <v>1</v>
      </c>
      <c r="C19" s="45" t="s">
        <v>534</v>
      </c>
      <c r="D19" s="574"/>
    </row>
    <row r="20" spans="1:4">
      <c r="A20" s="30">
        <f t="shared" si="0"/>
        <v>11</v>
      </c>
      <c r="B20" s="30">
        <v>1</v>
      </c>
      <c r="C20" s="45" t="s">
        <v>535</v>
      </c>
      <c r="D20" s="574"/>
    </row>
    <row r="21" spans="1:4">
      <c r="A21" s="30">
        <f t="shared" si="0"/>
        <v>12</v>
      </c>
      <c r="B21" s="30">
        <v>1</v>
      </c>
      <c r="C21" s="45" t="s">
        <v>536</v>
      </c>
      <c r="D21" s="574"/>
    </row>
    <row r="22" spans="1:4">
      <c r="A22" s="30">
        <f t="shared" si="0"/>
        <v>13</v>
      </c>
      <c r="B22" s="30">
        <v>1</v>
      </c>
      <c r="C22" s="45" t="s">
        <v>537</v>
      </c>
      <c r="D22" s="574"/>
    </row>
    <row r="23" spans="1:4">
      <c r="A23" s="30">
        <f t="shared" si="0"/>
        <v>14</v>
      </c>
      <c r="B23" s="30">
        <v>1</v>
      </c>
      <c r="C23" s="45" t="s">
        <v>538</v>
      </c>
      <c r="D23" s="574"/>
    </row>
    <row r="24" spans="1:4">
      <c r="A24" s="30">
        <f t="shared" si="0"/>
        <v>15</v>
      </c>
      <c r="B24" s="30">
        <v>1</v>
      </c>
      <c r="C24" s="45" t="s">
        <v>539</v>
      </c>
      <c r="D24" s="574"/>
    </row>
    <row r="25" spans="1:4">
      <c r="A25" s="30">
        <f t="shared" si="0"/>
        <v>16</v>
      </c>
      <c r="B25" s="30">
        <v>1</v>
      </c>
      <c r="C25" s="45" t="s">
        <v>540</v>
      </c>
      <c r="D25" s="574"/>
    </row>
    <row r="26" spans="1:4">
      <c r="A26" s="30">
        <f t="shared" si="0"/>
        <v>17</v>
      </c>
      <c r="B26" s="30">
        <v>1</v>
      </c>
      <c r="C26" s="45" t="s">
        <v>541</v>
      </c>
      <c r="D26" s="574"/>
    </row>
    <row r="27" spans="1:4">
      <c r="A27" s="30">
        <f t="shared" si="0"/>
        <v>18</v>
      </c>
      <c r="B27" s="30">
        <v>1</v>
      </c>
      <c r="C27" s="45" t="s">
        <v>542</v>
      </c>
      <c r="D27" s="574"/>
    </row>
    <row r="28" spans="1:4">
      <c r="A28" s="30">
        <f t="shared" si="0"/>
        <v>19</v>
      </c>
      <c r="B28" s="30">
        <v>1</v>
      </c>
      <c r="C28" s="45" t="s">
        <v>543</v>
      </c>
      <c r="D28" s="574"/>
    </row>
    <row r="29" spans="1:4">
      <c r="A29" s="30">
        <f t="shared" si="0"/>
        <v>20</v>
      </c>
      <c r="B29" s="30">
        <v>1</v>
      </c>
      <c r="C29" s="45" t="s">
        <v>544</v>
      </c>
      <c r="D29" s="574"/>
    </row>
    <row r="30" spans="1:4">
      <c r="A30" s="30">
        <f t="shared" si="0"/>
        <v>21</v>
      </c>
      <c r="B30" s="30">
        <v>1</v>
      </c>
      <c r="C30" s="45" t="s">
        <v>545</v>
      </c>
      <c r="D30" s="574"/>
    </row>
    <row r="31" spans="1:4">
      <c r="A31" s="30">
        <f t="shared" si="0"/>
        <v>22</v>
      </c>
      <c r="B31" s="30">
        <v>1</v>
      </c>
      <c r="C31" s="45" t="s">
        <v>546</v>
      </c>
      <c r="D31" s="574"/>
    </row>
    <row r="32" spans="1:4">
      <c r="A32" s="30">
        <f t="shared" si="0"/>
        <v>23</v>
      </c>
      <c r="B32" s="30">
        <v>1</v>
      </c>
      <c r="C32" s="45" t="s">
        <v>547</v>
      </c>
      <c r="D32" s="574"/>
    </row>
    <row r="33" spans="1:5">
      <c r="A33" s="30">
        <f t="shared" si="0"/>
        <v>24</v>
      </c>
      <c r="B33" s="30">
        <v>1</v>
      </c>
      <c r="C33" s="45" t="s">
        <v>548</v>
      </c>
      <c r="D33" s="574"/>
    </row>
    <row r="34" spans="1:5">
      <c r="A34" s="30">
        <f t="shared" si="0"/>
        <v>25</v>
      </c>
      <c r="B34" s="30">
        <v>1</v>
      </c>
      <c r="C34" s="45" t="s">
        <v>549</v>
      </c>
      <c r="D34" s="574"/>
    </row>
    <row r="35" spans="1:5">
      <c r="A35" s="30">
        <f t="shared" si="0"/>
        <v>26</v>
      </c>
      <c r="B35" s="30">
        <v>1</v>
      </c>
      <c r="C35" s="45" t="s">
        <v>550</v>
      </c>
      <c r="D35" s="574"/>
    </row>
    <row r="36" spans="1:5">
      <c r="A36" s="30">
        <f t="shared" si="0"/>
        <v>27</v>
      </c>
      <c r="B36" s="30">
        <v>1</v>
      </c>
      <c r="C36" s="45" t="s">
        <v>551</v>
      </c>
      <c r="D36" s="574"/>
    </row>
    <row r="37" spans="1:5">
      <c r="A37" s="30">
        <f t="shared" si="0"/>
        <v>28</v>
      </c>
      <c r="B37" s="30">
        <v>1</v>
      </c>
      <c r="C37" s="45" t="s">
        <v>552</v>
      </c>
      <c r="D37" s="574"/>
    </row>
    <row r="38" spans="1:5">
      <c r="A38" s="30">
        <f t="shared" si="0"/>
        <v>29</v>
      </c>
      <c r="B38" s="30">
        <v>1</v>
      </c>
      <c r="C38" s="45" t="s">
        <v>553</v>
      </c>
      <c r="D38" s="574"/>
    </row>
    <row r="39" spans="1:5">
      <c r="A39" s="30">
        <f t="shared" si="0"/>
        <v>30</v>
      </c>
      <c r="B39" s="30">
        <v>1</v>
      </c>
      <c r="C39" s="45" t="s">
        <v>554</v>
      </c>
      <c r="D39" s="574"/>
    </row>
    <row r="40" spans="1:5">
      <c r="A40" s="30">
        <f t="shared" si="0"/>
        <v>31</v>
      </c>
      <c r="B40" s="30">
        <v>1</v>
      </c>
      <c r="C40" s="45" t="s">
        <v>555</v>
      </c>
      <c r="D40" s="574"/>
    </row>
    <row r="41" spans="1:5">
      <c r="A41" s="30">
        <f t="shared" si="0"/>
        <v>32</v>
      </c>
      <c r="B41" s="30">
        <v>1</v>
      </c>
      <c r="C41" s="45" t="s">
        <v>556</v>
      </c>
      <c r="D41" s="574"/>
    </row>
    <row r="42" spans="1:5">
      <c r="A42" s="30">
        <f t="shared" si="0"/>
        <v>33</v>
      </c>
      <c r="B42" s="30">
        <v>1</v>
      </c>
      <c r="C42" s="45" t="s">
        <v>557</v>
      </c>
      <c r="D42" s="574"/>
      <c r="E42" s="65"/>
    </row>
    <row r="43" spans="1:5">
      <c r="A43" s="30">
        <f t="shared" si="0"/>
        <v>34</v>
      </c>
      <c r="B43" s="30">
        <v>1</v>
      </c>
      <c r="C43" s="45" t="s">
        <v>558</v>
      </c>
      <c r="D43" s="574"/>
    </row>
    <row r="44" spans="1:5">
      <c r="A44" s="30">
        <f t="shared" si="0"/>
        <v>35</v>
      </c>
      <c r="B44" s="30">
        <v>1</v>
      </c>
      <c r="C44" s="45" t="s">
        <v>559</v>
      </c>
      <c r="D44" s="574"/>
    </row>
    <row r="45" spans="1:5">
      <c r="A45" s="30">
        <f t="shared" si="0"/>
        <v>36</v>
      </c>
      <c r="B45" s="30">
        <v>1</v>
      </c>
      <c r="C45" s="45" t="s">
        <v>560</v>
      </c>
      <c r="D45" s="574"/>
    </row>
    <row r="46" spans="1:5">
      <c r="A46" s="30">
        <f t="shared" si="0"/>
        <v>37</v>
      </c>
      <c r="B46" s="30">
        <v>1</v>
      </c>
      <c r="C46" s="45" t="s">
        <v>561</v>
      </c>
      <c r="D46" s="574"/>
    </row>
    <row r="47" spans="1:5">
      <c r="A47" s="30">
        <f t="shared" si="0"/>
        <v>38</v>
      </c>
      <c r="B47" s="30">
        <v>1</v>
      </c>
      <c r="C47" s="45" t="s">
        <v>562</v>
      </c>
      <c r="D47" s="574"/>
    </row>
    <row r="48" spans="1:5">
      <c r="A48" s="30">
        <f t="shared" si="0"/>
        <v>39</v>
      </c>
      <c r="B48" s="30">
        <v>1</v>
      </c>
      <c r="C48" s="45" t="s">
        <v>563</v>
      </c>
      <c r="D48" s="574"/>
    </row>
    <row r="49" spans="1:4">
      <c r="A49" s="30">
        <f t="shared" si="0"/>
        <v>40</v>
      </c>
      <c r="B49" s="30">
        <v>1</v>
      </c>
      <c r="C49" s="45" t="s">
        <v>564</v>
      </c>
      <c r="D49" s="574"/>
    </row>
    <row r="50" spans="1:4">
      <c r="A50" s="30">
        <f t="shared" si="0"/>
        <v>41</v>
      </c>
      <c r="B50" s="30">
        <v>1</v>
      </c>
      <c r="C50" s="45" t="s">
        <v>565</v>
      </c>
      <c r="D50" s="574"/>
    </row>
    <row r="51" spans="1:4">
      <c r="A51" s="30">
        <f t="shared" si="0"/>
        <v>42</v>
      </c>
      <c r="B51" s="30">
        <v>1</v>
      </c>
      <c r="C51" s="45" t="s">
        <v>566</v>
      </c>
      <c r="D51" s="574"/>
    </row>
    <row r="52" spans="1:4">
      <c r="A52" s="30">
        <f t="shared" si="0"/>
        <v>43</v>
      </c>
      <c r="B52" s="30">
        <v>1</v>
      </c>
      <c r="C52" s="45" t="s">
        <v>567</v>
      </c>
      <c r="D52" s="574"/>
    </row>
    <row r="53" spans="1:4">
      <c r="A53" s="30">
        <f t="shared" si="0"/>
        <v>44</v>
      </c>
      <c r="B53" s="30">
        <v>1</v>
      </c>
      <c r="C53" s="45" t="s">
        <v>568</v>
      </c>
      <c r="D53" s="574"/>
    </row>
    <row r="54" spans="1:4">
      <c r="A54" s="30">
        <f t="shared" si="0"/>
        <v>45</v>
      </c>
      <c r="B54" s="30">
        <v>1</v>
      </c>
      <c r="C54" s="45" t="s">
        <v>569</v>
      </c>
      <c r="D54" s="574"/>
    </row>
    <row r="55" spans="1:4">
      <c r="A55" s="30">
        <f t="shared" si="0"/>
        <v>46</v>
      </c>
      <c r="B55" s="30">
        <v>1</v>
      </c>
      <c r="C55" s="45" t="s">
        <v>570</v>
      </c>
      <c r="D55" s="574"/>
    </row>
    <row r="56" spans="1:4">
      <c r="A56" s="30">
        <f t="shared" si="0"/>
        <v>47</v>
      </c>
      <c r="B56" s="30">
        <v>1</v>
      </c>
      <c r="C56" s="45" t="s">
        <v>571</v>
      </c>
      <c r="D56" s="574"/>
    </row>
    <row r="57" spans="1:4">
      <c r="A57" s="30">
        <f t="shared" si="0"/>
        <v>48</v>
      </c>
      <c r="B57" s="30">
        <v>1</v>
      </c>
      <c r="C57" s="45" t="s">
        <v>572</v>
      </c>
      <c r="D57" s="574"/>
    </row>
    <row r="58" spans="1:4">
      <c r="A58" s="30">
        <f t="shared" si="0"/>
        <v>49</v>
      </c>
      <c r="B58" s="30">
        <v>1</v>
      </c>
      <c r="C58" s="45" t="s">
        <v>573</v>
      </c>
      <c r="D58" s="574"/>
    </row>
    <row r="59" spans="1:4">
      <c r="A59" s="30">
        <f t="shared" si="0"/>
        <v>50</v>
      </c>
      <c r="B59" s="30">
        <v>1</v>
      </c>
      <c r="C59" s="45" t="s">
        <v>574</v>
      </c>
      <c r="D59" s="574"/>
    </row>
    <row r="60" spans="1:4">
      <c r="A60" s="30">
        <f t="shared" si="0"/>
        <v>51</v>
      </c>
      <c r="B60" s="30">
        <v>1</v>
      </c>
      <c r="C60" s="45" t="s">
        <v>575</v>
      </c>
      <c r="D60" s="574"/>
    </row>
    <row r="61" spans="1:4">
      <c r="A61" s="30">
        <f t="shared" si="0"/>
        <v>52</v>
      </c>
      <c r="B61" s="30">
        <v>1</v>
      </c>
      <c r="C61" s="45" t="s">
        <v>576</v>
      </c>
      <c r="D61" s="574"/>
    </row>
    <row r="62" spans="1:4">
      <c r="A62" s="30">
        <f t="shared" si="0"/>
        <v>53</v>
      </c>
      <c r="B62" s="30">
        <v>1</v>
      </c>
      <c r="C62" s="45" t="s">
        <v>577</v>
      </c>
      <c r="D62" s="574"/>
    </row>
    <row r="63" spans="1:4">
      <c r="A63" s="30">
        <f t="shared" si="0"/>
        <v>54</v>
      </c>
      <c r="B63" s="30">
        <v>1</v>
      </c>
      <c r="C63" s="45" t="s">
        <v>578</v>
      </c>
      <c r="D63" s="574"/>
    </row>
    <row r="64" spans="1:4">
      <c r="A64" s="30">
        <f t="shared" si="0"/>
        <v>55</v>
      </c>
      <c r="B64" s="30">
        <v>1</v>
      </c>
      <c r="C64" s="45" t="s">
        <v>579</v>
      </c>
      <c r="D64" s="574"/>
    </row>
    <row r="65" spans="1:4">
      <c r="A65" s="30">
        <f t="shared" si="0"/>
        <v>56</v>
      </c>
      <c r="B65" s="30">
        <v>1</v>
      </c>
      <c r="C65" s="45" t="s">
        <v>580</v>
      </c>
      <c r="D65" s="574"/>
    </row>
    <row r="66" spans="1:4">
      <c r="A66" s="30">
        <f t="shared" si="0"/>
        <v>57</v>
      </c>
      <c r="B66" s="30">
        <v>1</v>
      </c>
      <c r="C66" s="45" t="s">
        <v>581</v>
      </c>
      <c r="D66" s="574"/>
    </row>
    <row r="67" spans="1:4">
      <c r="A67" s="30">
        <f t="shared" si="0"/>
        <v>58</v>
      </c>
      <c r="B67" s="30">
        <v>1</v>
      </c>
      <c r="C67" s="45" t="s">
        <v>582</v>
      </c>
      <c r="D67" s="574"/>
    </row>
    <row r="68" spans="1:4">
      <c r="A68" s="30">
        <f t="shared" si="0"/>
        <v>59</v>
      </c>
      <c r="B68" s="30">
        <v>1</v>
      </c>
      <c r="C68" s="45" t="s">
        <v>583</v>
      </c>
      <c r="D68" s="574"/>
    </row>
    <row r="69" spans="1:4">
      <c r="A69" s="30">
        <f t="shared" si="0"/>
        <v>60</v>
      </c>
      <c r="B69" s="30">
        <v>1</v>
      </c>
      <c r="C69" s="45" t="s">
        <v>584</v>
      </c>
      <c r="D69" s="574"/>
    </row>
    <row r="70" spans="1:4">
      <c r="A70" s="30">
        <f t="shared" si="0"/>
        <v>61</v>
      </c>
      <c r="B70" s="30">
        <v>1</v>
      </c>
      <c r="C70" s="45" t="s">
        <v>585</v>
      </c>
      <c r="D70" s="574"/>
    </row>
    <row r="71" spans="1:4">
      <c r="A71" s="30">
        <f t="shared" si="0"/>
        <v>62</v>
      </c>
      <c r="B71" s="30">
        <v>1</v>
      </c>
      <c r="C71" s="45" t="s">
        <v>586</v>
      </c>
      <c r="D71" s="574"/>
    </row>
    <row r="72" spans="1:4">
      <c r="A72" s="30">
        <f t="shared" si="0"/>
        <v>63</v>
      </c>
      <c r="B72" s="30">
        <v>1</v>
      </c>
      <c r="C72" s="45" t="s">
        <v>587</v>
      </c>
      <c r="D72" s="574"/>
    </row>
    <row r="73" spans="1:4">
      <c r="A73" s="30">
        <f t="shared" si="0"/>
        <v>64</v>
      </c>
      <c r="B73" s="30">
        <v>1</v>
      </c>
      <c r="C73" s="45" t="s">
        <v>588</v>
      </c>
      <c r="D73" s="574"/>
    </row>
    <row r="74" spans="1:4">
      <c r="A74" s="30">
        <f t="shared" si="0"/>
        <v>65</v>
      </c>
      <c r="B74" s="30">
        <v>1</v>
      </c>
      <c r="C74" s="45" t="s">
        <v>589</v>
      </c>
      <c r="D74" s="574"/>
    </row>
    <row r="75" spans="1:4">
      <c r="A75" s="30">
        <f t="shared" si="0"/>
        <v>66</v>
      </c>
      <c r="B75" s="30">
        <v>1</v>
      </c>
      <c r="C75" s="45" t="s">
        <v>590</v>
      </c>
      <c r="D75" s="574"/>
    </row>
    <row r="76" spans="1:4">
      <c r="A76" s="30">
        <f t="shared" ref="A76:A128" si="1">A75+B75</f>
        <v>67</v>
      </c>
      <c r="B76" s="30">
        <v>1</v>
      </c>
      <c r="C76" s="45" t="s">
        <v>591</v>
      </c>
      <c r="D76" s="574"/>
    </row>
    <row r="77" spans="1:4" ht="57">
      <c r="A77" s="30">
        <f t="shared" si="1"/>
        <v>68</v>
      </c>
      <c r="B77" s="30">
        <v>3</v>
      </c>
      <c r="C77" s="45" t="s">
        <v>1471</v>
      </c>
      <c r="D77" s="41" t="s">
        <v>1359</v>
      </c>
    </row>
    <row r="78" spans="1:4">
      <c r="A78" s="30">
        <f t="shared" si="1"/>
        <v>71</v>
      </c>
      <c r="B78" s="30">
        <v>1</v>
      </c>
      <c r="C78" s="44" t="s">
        <v>595</v>
      </c>
      <c r="D78" s="44" t="s">
        <v>596</v>
      </c>
    </row>
    <row r="79" spans="1:4" ht="27.6">
      <c r="A79" s="30">
        <f t="shared" si="1"/>
        <v>72</v>
      </c>
      <c r="B79" s="30">
        <v>1</v>
      </c>
      <c r="C79" s="44" t="s">
        <v>1432</v>
      </c>
      <c r="D79" s="66" t="s">
        <v>598</v>
      </c>
    </row>
    <row r="80" spans="1:4">
      <c r="A80" s="30">
        <f t="shared" si="1"/>
        <v>73</v>
      </c>
      <c r="B80" s="30">
        <v>1</v>
      </c>
      <c r="C80" s="44" t="s">
        <v>1472</v>
      </c>
      <c r="D80" s="44" t="s">
        <v>596</v>
      </c>
    </row>
    <row r="81" spans="1:4" ht="27.6">
      <c r="A81" s="30">
        <f t="shared" si="1"/>
        <v>74</v>
      </c>
      <c r="B81" s="30">
        <v>1</v>
      </c>
      <c r="C81" s="44" t="s">
        <v>1473</v>
      </c>
      <c r="D81" s="66" t="s">
        <v>598</v>
      </c>
    </row>
    <row r="82" spans="1:4">
      <c r="A82" s="30">
        <f t="shared" si="1"/>
        <v>75</v>
      </c>
      <c r="B82" s="30">
        <v>1</v>
      </c>
      <c r="C82" s="44" t="s">
        <v>1474</v>
      </c>
      <c r="D82" s="44" t="s">
        <v>596</v>
      </c>
    </row>
    <row r="83" spans="1:4" ht="27.6">
      <c r="A83" s="30">
        <f t="shared" si="1"/>
        <v>76</v>
      </c>
      <c r="B83" s="30">
        <v>1</v>
      </c>
      <c r="C83" s="44" t="s">
        <v>224</v>
      </c>
      <c r="D83" s="66" t="s">
        <v>598</v>
      </c>
    </row>
    <row r="84" spans="1:4">
      <c r="A84" s="30">
        <f t="shared" si="1"/>
        <v>77</v>
      </c>
      <c r="B84" s="30">
        <v>1</v>
      </c>
      <c r="C84" s="44" t="s">
        <v>602</v>
      </c>
      <c r="D84" s="44" t="s">
        <v>596</v>
      </c>
    </row>
    <row r="85" spans="1:4" ht="27.6">
      <c r="A85" s="30">
        <f t="shared" si="1"/>
        <v>78</v>
      </c>
      <c r="B85" s="30">
        <v>1</v>
      </c>
      <c r="C85" s="44" t="s">
        <v>1475</v>
      </c>
      <c r="D85" s="66" t="s">
        <v>598</v>
      </c>
    </row>
    <row r="86" spans="1:4">
      <c r="A86" s="30">
        <f t="shared" si="1"/>
        <v>79</v>
      </c>
      <c r="B86" s="30">
        <v>1</v>
      </c>
      <c r="C86" s="44" t="s">
        <v>1476</v>
      </c>
      <c r="D86" s="44" t="s">
        <v>596</v>
      </c>
    </row>
    <row r="87" spans="1:4" ht="27.6">
      <c r="A87" s="30">
        <f t="shared" si="1"/>
        <v>80</v>
      </c>
      <c r="B87" s="30">
        <v>1</v>
      </c>
      <c r="C87" s="44" t="s">
        <v>1477</v>
      </c>
      <c r="D87" s="66" t="s">
        <v>598</v>
      </c>
    </row>
    <row r="88" spans="1:4">
      <c r="A88" s="30">
        <f t="shared" si="1"/>
        <v>81</v>
      </c>
      <c r="B88" s="30">
        <v>1</v>
      </c>
      <c r="C88" s="44" t="s">
        <v>1478</v>
      </c>
      <c r="D88" s="44" t="s">
        <v>596</v>
      </c>
    </row>
    <row r="89" spans="1:4" ht="27.6">
      <c r="A89" s="30">
        <f t="shared" si="1"/>
        <v>82</v>
      </c>
      <c r="B89" s="30">
        <v>1</v>
      </c>
      <c r="C89" s="44" t="s">
        <v>1479</v>
      </c>
      <c r="D89" s="66" t="s">
        <v>598</v>
      </c>
    </row>
    <row r="90" spans="1:4">
      <c r="A90" s="30">
        <f t="shared" si="1"/>
        <v>83</v>
      </c>
      <c r="B90" s="30">
        <v>1</v>
      </c>
      <c r="C90" s="44" t="s">
        <v>1480</v>
      </c>
      <c r="D90" s="44" t="s">
        <v>596</v>
      </c>
    </row>
    <row r="91" spans="1:4" ht="27.6">
      <c r="A91" s="30">
        <f t="shared" si="1"/>
        <v>84</v>
      </c>
      <c r="B91" s="30">
        <v>1</v>
      </c>
      <c r="C91" s="44" t="s">
        <v>1481</v>
      </c>
      <c r="D91" s="66" t="s">
        <v>598</v>
      </c>
    </row>
    <row r="92" spans="1:4">
      <c r="A92" s="30">
        <f t="shared" si="1"/>
        <v>85</v>
      </c>
      <c r="B92" s="30">
        <v>1</v>
      </c>
      <c r="C92" s="44" t="s">
        <v>1482</v>
      </c>
      <c r="D92" s="44" t="s">
        <v>596</v>
      </c>
    </row>
    <row r="93" spans="1:4" ht="27.6">
      <c r="A93" s="30">
        <f t="shared" si="1"/>
        <v>86</v>
      </c>
      <c r="B93" s="30">
        <v>1</v>
      </c>
      <c r="C93" s="44" t="s">
        <v>1483</v>
      </c>
      <c r="D93" s="66" t="s">
        <v>598</v>
      </c>
    </row>
    <row r="94" spans="1:4">
      <c r="A94" s="30">
        <f t="shared" si="1"/>
        <v>87</v>
      </c>
      <c r="B94" s="30">
        <v>1</v>
      </c>
      <c r="C94" s="44" t="s">
        <v>1484</v>
      </c>
      <c r="D94" s="44" t="s">
        <v>596</v>
      </c>
    </row>
    <row r="95" spans="1:4" ht="27.6">
      <c r="A95" s="30">
        <f t="shared" si="1"/>
        <v>88</v>
      </c>
      <c r="B95" s="30">
        <v>1</v>
      </c>
      <c r="C95" s="44" t="s">
        <v>1485</v>
      </c>
      <c r="D95" s="66" t="s">
        <v>598</v>
      </c>
    </row>
    <row r="96" spans="1:4">
      <c r="A96" s="30">
        <f t="shared" si="1"/>
        <v>89</v>
      </c>
      <c r="B96" s="30">
        <v>1</v>
      </c>
      <c r="C96" s="44" t="s">
        <v>1486</v>
      </c>
      <c r="D96" s="44" t="s">
        <v>596</v>
      </c>
    </row>
    <row r="97" spans="1:4" ht="41.4">
      <c r="A97" s="30">
        <f t="shared" si="1"/>
        <v>90</v>
      </c>
      <c r="B97" s="30">
        <v>1</v>
      </c>
      <c r="C97" s="44" t="s">
        <v>1487</v>
      </c>
      <c r="D97" s="66" t="s">
        <v>1368</v>
      </c>
    </row>
    <row r="98" spans="1:4" ht="26.4">
      <c r="A98" s="30">
        <f t="shared" si="1"/>
        <v>91</v>
      </c>
      <c r="B98" s="30">
        <v>1</v>
      </c>
      <c r="C98" s="44" t="s">
        <v>1488</v>
      </c>
      <c r="D98" s="51" t="s">
        <v>1370</v>
      </c>
    </row>
    <row r="99" spans="1:4" ht="27.6">
      <c r="A99" s="30">
        <f t="shared" si="1"/>
        <v>92</v>
      </c>
      <c r="B99" s="30">
        <v>1</v>
      </c>
      <c r="C99" s="44" t="s">
        <v>1489</v>
      </c>
      <c r="D99" s="66" t="s">
        <v>598</v>
      </c>
    </row>
    <row r="100" spans="1:4">
      <c r="A100" s="30">
        <f t="shared" si="1"/>
        <v>93</v>
      </c>
      <c r="B100" s="30">
        <v>1</v>
      </c>
      <c r="C100" s="44" t="s">
        <v>1490</v>
      </c>
      <c r="D100" s="44" t="s">
        <v>596</v>
      </c>
    </row>
    <row r="101" spans="1:4" ht="27.6">
      <c r="A101" s="30">
        <f t="shared" si="1"/>
        <v>94</v>
      </c>
      <c r="B101" s="30">
        <v>1</v>
      </c>
      <c r="C101" s="44" t="s">
        <v>1491</v>
      </c>
      <c r="D101" s="66" t="s">
        <v>598</v>
      </c>
    </row>
    <row r="102" spans="1:4">
      <c r="A102" s="30">
        <f t="shared" si="1"/>
        <v>95</v>
      </c>
      <c r="B102" s="30">
        <v>1</v>
      </c>
      <c r="C102" s="44" t="s">
        <v>1492</v>
      </c>
      <c r="D102" s="44" t="s">
        <v>596</v>
      </c>
    </row>
    <row r="103" spans="1:4">
      <c r="A103" s="30">
        <f t="shared" si="1"/>
        <v>96</v>
      </c>
      <c r="B103" s="30">
        <v>3</v>
      </c>
      <c r="C103" s="51" t="s">
        <v>744</v>
      </c>
      <c r="D103" s="558" t="s">
        <v>614</v>
      </c>
    </row>
    <row r="104" spans="1:4">
      <c r="A104" s="30">
        <f t="shared" si="1"/>
        <v>99</v>
      </c>
      <c r="B104" s="30">
        <v>1</v>
      </c>
      <c r="C104" s="44" t="s">
        <v>746</v>
      </c>
      <c r="D104" s="558"/>
    </row>
    <row r="105" spans="1:4">
      <c r="A105" s="30">
        <f t="shared" si="1"/>
        <v>100</v>
      </c>
      <c r="B105" s="30">
        <v>2</v>
      </c>
      <c r="C105" s="44" t="s">
        <v>1493</v>
      </c>
      <c r="D105" s="41" t="s">
        <v>617</v>
      </c>
    </row>
    <row r="106" spans="1:4">
      <c r="A106" s="30">
        <f t="shared" si="1"/>
        <v>102</v>
      </c>
      <c r="B106" s="30">
        <v>1</v>
      </c>
      <c r="C106" s="44" t="s">
        <v>1494</v>
      </c>
      <c r="D106" s="44" t="s">
        <v>596</v>
      </c>
    </row>
    <row r="107" spans="1:4" ht="27.6">
      <c r="A107" s="30">
        <f t="shared" si="1"/>
        <v>103</v>
      </c>
      <c r="B107" s="30">
        <v>1</v>
      </c>
      <c r="C107" s="51" t="s">
        <v>173</v>
      </c>
      <c r="D107" s="66" t="s">
        <v>598</v>
      </c>
    </row>
    <row r="108" spans="1:4">
      <c r="A108" s="30">
        <f t="shared" si="1"/>
        <v>104</v>
      </c>
      <c r="B108" s="30">
        <v>1</v>
      </c>
      <c r="C108" s="44" t="s">
        <v>619</v>
      </c>
      <c r="D108" s="44" t="s">
        <v>596</v>
      </c>
    </row>
    <row r="109" spans="1:4" ht="27.6">
      <c r="A109" s="30">
        <f t="shared" si="1"/>
        <v>105</v>
      </c>
      <c r="B109" s="30">
        <v>1</v>
      </c>
      <c r="C109" s="51" t="s">
        <v>177</v>
      </c>
      <c r="D109" s="66" t="s">
        <v>598</v>
      </c>
    </row>
    <row r="110" spans="1:4">
      <c r="A110" s="30">
        <f t="shared" si="1"/>
        <v>106</v>
      </c>
      <c r="B110" s="30">
        <v>1</v>
      </c>
      <c r="C110" s="44" t="s">
        <v>620</v>
      </c>
      <c r="D110" s="44" t="s">
        <v>596</v>
      </c>
    </row>
    <row r="111" spans="1:4" ht="27.6">
      <c r="A111" s="30">
        <f t="shared" si="1"/>
        <v>107</v>
      </c>
      <c r="B111" s="30">
        <v>1</v>
      </c>
      <c r="C111" s="51" t="s">
        <v>179</v>
      </c>
      <c r="D111" s="66" t="s">
        <v>598</v>
      </c>
    </row>
    <row r="112" spans="1:4">
      <c r="A112" s="30">
        <f t="shared" si="1"/>
        <v>108</v>
      </c>
      <c r="B112" s="30">
        <v>1</v>
      </c>
      <c r="C112" s="44" t="s">
        <v>1371</v>
      </c>
      <c r="D112" s="44" t="s">
        <v>596</v>
      </c>
    </row>
    <row r="113" spans="1:4" ht="27.6">
      <c r="A113" s="30">
        <f t="shared" si="1"/>
        <v>109</v>
      </c>
      <c r="B113" s="30">
        <v>1</v>
      </c>
      <c r="C113" s="51" t="s">
        <v>180</v>
      </c>
      <c r="D113" s="66" t="s">
        <v>598</v>
      </c>
    </row>
    <row r="114" spans="1:4">
      <c r="A114" s="30">
        <f t="shared" si="1"/>
        <v>110</v>
      </c>
      <c r="B114" s="30">
        <v>1</v>
      </c>
      <c r="C114" s="44" t="s">
        <v>1372</v>
      </c>
      <c r="D114" s="44" t="s">
        <v>596</v>
      </c>
    </row>
    <row r="115" spans="1:4" ht="27.6">
      <c r="A115" s="30">
        <f t="shared" si="1"/>
        <v>111</v>
      </c>
      <c r="B115" s="30">
        <v>1</v>
      </c>
      <c r="C115" s="51" t="s">
        <v>182</v>
      </c>
      <c r="D115" s="66" t="s">
        <v>598</v>
      </c>
    </row>
    <row r="116" spans="1:4">
      <c r="A116" s="30">
        <f t="shared" si="1"/>
        <v>112</v>
      </c>
      <c r="B116" s="30">
        <v>1</v>
      </c>
      <c r="C116" s="44" t="s">
        <v>1373</v>
      </c>
      <c r="D116" s="44" t="s">
        <v>596</v>
      </c>
    </row>
    <row r="117" spans="1:4" ht="41.4">
      <c r="A117" s="30">
        <f t="shared" si="1"/>
        <v>113</v>
      </c>
      <c r="B117" s="30">
        <v>1</v>
      </c>
      <c r="C117" s="44" t="s">
        <v>1495</v>
      </c>
      <c r="D117" s="66" t="s">
        <v>1375</v>
      </c>
    </row>
    <row r="118" spans="1:4">
      <c r="A118" s="30">
        <f t="shared" si="1"/>
        <v>114</v>
      </c>
      <c r="B118" s="30">
        <v>1</v>
      </c>
      <c r="C118" s="44" t="s">
        <v>1376</v>
      </c>
      <c r="D118" s="44" t="s">
        <v>596</v>
      </c>
    </row>
    <row r="119" spans="1:4" ht="41.4">
      <c r="A119" s="30">
        <f t="shared" si="1"/>
        <v>115</v>
      </c>
      <c r="B119" s="30">
        <v>2</v>
      </c>
      <c r="C119" s="44" t="s">
        <v>632</v>
      </c>
      <c r="D119" s="66" t="s">
        <v>1496</v>
      </c>
    </row>
    <row r="120" spans="1:4">
      <c r="A120" s="30">
        <f t="shared" si="1"/>
        <v>117</v>
      </c>
      <c r="B120" s="30">
        <v>1</v>
      </c>
      <c r="C120" s="44" t="s">
        <v>635</v>
      </c>
      <c r="D120" s="44" t="s">
        <v>596</v>
      </c>
    </row>
    <row r="121" spans="1:4" ht="105.6">
      <c r="A121" s="30">
        <f t="shared" si="1"/>
        <v>118</v>
      </c>
      <c r="B121" s="30">
        <v>8</v>
      </c>
      <c r="C121" s="44" t="s">
        <v>636</v>
      </c>
      <c r="D121" s="51" t="s">
        <v>637</v>
      </c>
    </row>
    <row r="122" spans="1:4">
      <c r="A122" s="30">
        <f t="shared" si="1"/>
        <v>126</v>
      </c>
      <c r="B122" s="30">
        <v>1</v>
      </c>
      <c r="C122" s="44" t="s">
        <v>638</v>
      </c>
      <c r="D122" s="44" t="s">
        <v>596</v>
      </c>
    </row>
    <row r="123" spans="1:4" ht="79.2">
      <c r="A123" s="30">
        <f t="shared" si="1"/>
        <v>127</v>
      </c>
      <c r="B123" s="30">
        <v>6</v>
      </c>
      <c r="C123" s="44" t="s">
        <v>639</v>
      </c>
      <c r="D123" s="51" t="s">
        <v>640</v>
      </c>
    </row>
    <row r="124" spans="1:4">
      <c r="A124" s="30">
        <f t="shared" si="1"/>
        <v>133</v>
      </c>
      <c r="B124" s="30">
        <v>1</v>
      </c>
      <c r="C124" s="44" t="s">
        <v>641</v>
      </c>
      <c r="D124" s="44" t="s">
        <v>596</v>
      </c>
    </row>
    <row r="125" spans="1:4">
      <c r="A125" s="30">
        <f t="shared" si="1"/>
        <v>134</v>
      </c>
      <c r="B125" s="30">
        <v>2</v>
      </c>
      <c r="C125" s="30" t="s">
        <v>1497</v>
      </c>
      <c r="D125" s="41" t="s">
        <v>128</v>
      </c>
    </row>
    <row r="126" spans="1:4" ht="22.8">
      <c r="A126" s="30">
        <f t="shared" si="1"/>
        <v>136</v>
      </c>
      <c r="B126" s="30">
        <v>4</v>
      </c>
      <c r="C126" s="30" t="s">
        <v>129</v>
      </c>
      <c r="D126" s="41" t="s">
        <v>130</v>
      </c>
    </row>
    <row r="127" spans="1:4">
      <c r="A127" s="30">
        <f t="shared" si="1"/>
        <v>140</v>
      </c>
      <c r="B127" s="30">
        <v>1</v>
      </c>
      <c r="C127" s="30" t="s">
        <v>131</v>
      </c>
      <c r="D127" s="41" t="s">
        <v>132</v>
      </c>
    </row>
    <row r="128" spans="1:4">
      <c r="A128" s="30">
        <f t="shared" si="1"/>
        <v>141</v>
      </c>
      <c r="B128" s="53" t="s">
        <v>486</v>
      </c>
    </row>
  </sheetData>
  <mergeCells count="5">
    <mergeCell ref="A2:E2"/>
    <mergeCell ref="A4:E4"/>
    <mergeCell ref="D18:D76"/>
    <mergeCell ref="D103:D104"/>
    <mergeCell ref="A6:E7"/>
  </mergeCells>
  <pageMargins left="0.69861111111111096" right="0.69861111111111096" top="0.75" bottom="0.75" header="0.3" footer="0.3"/>
  <headerFooter scaleWithDoc="0"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45"/>
  <sheetViews>
    <sheetView topLeftCell="A36" workbookViewId="0">
      <selection activeCell="D54" sqref="D54"/>
    </sheetView>
  </sheetViews>
  <sheetFormatPr defaultColWidth="9.109375" defaultRowHeight="13.2"/>
  <cols>
    <col min="1" max="1" width="24.21875" style="30" customWidth="1"/>
    <col min="2" max="2" width="17.6640625" style="30" customWidth="1"/>
    <col min="3" max="3" width="26" style="54" customWidth="1"/>
    <col min="4" max="4" width="31.5546875" style="32" customWidth="1"/>
    <col min="5" max="5" width="31.21875" style="33" customWidth="1"/>
  </cols>
  <sheetData>
    <row r="1" spans="1:5" ht="15">
      <c r="A1" s="34"/>
      <c r="B1" s="34"/>
    </row>
    <row r="2" spans="1:5" ht="15">
      <c r="A2" s="556" t="s">
        <v>763</v>
      </c>
      <c r="B2" s="556"/>
      <c r="C2" s="556"/>
      <c r="D2" s="556"/>
      <c r="E2" s="556"/>
    </row>
    <row r="4" spans="1:5" ht="15">
      <c r="A4" s="556" t="s">
        <v>764</v>
      </c>
      <c r="B4" s="556"/>
      <c r="C4" s="556"/>
      <c r="D4" s="556"/>
      <c r="E4" s="556"/>
    </row>
    <row r="5" spans="1:5" ht="15">
      <c r="A5" s="35"/>
      <c r="B5" s="34"/>
      <c r="D5" s="36"/>
    </row>
    <row r="6" spans="1:5" ht="30">
      <c r="A6" s="37" t="s">
        <v>110</v>
      </c>
      <c r="B6" s="37" t="s">
        <v>111</v>
      </c>
      <c r="C6" s="38" t="s">
        <v>112</v>
      </c>
      <c r="D6" s="39" t="s">
        <v>113</v>
      </c>
      <c r="E6" s="34"/>
    </row>
    <row r="7" spans="1:5">
      <c r="A7" s="30">
        <v>0</v>
      </c>
      <c r="B7" s="30">
        <v>1</v>
      </c>
      <c r="C7" s="54" t="s">
        <v>114</v>
      </c>
      <c r="D7" s="32" t="s">
        <v>115</v>
      </c>
    </row>
    <row r="8" spans="1:5" ht="22.8">
      <c r="A8" s="30">
        <f t="shared" ref="A8:A16" si="0">A7+B7</f>
        <v>1</v>
      </c>
      <c r="B8" s="30">
        <v>1</v>
      </c>
      <c r="C8" s="54" t="s">
        <v>116</v>
      </c>
      <c r="D8" s="32" t="s">
        <v>117</v>
      </c>
    </row>
    <row r="9" spans="1:5">
      <c r="A9" s="30">
        <f t="shared" si="0"/>
        <v>2</v>
      </c>
      <c r="B9" s="30">
        <v>1</v>
      </c>
      <c r="C9" s="54" t="s">
        <v>765</v>
      </c>
      <c r="D9" s="32" t="s">
        <v>119</v>
      </c>
    </row>
    <row r="10" spans="1:5" ht="39.6">
      <c r="A10" s="30">
        <f t="shared" si="0"/>
        <v>3</v>
      </c>
      <c r="B10" s="30">
        <v>2</v>
      </c>
      <c r="C10" s="40" t="s">
        <v>120</v>
      </c>
      <c r="D10" s="32" t="str">
        <f>DEC2HEX(A16-5)</f>
        <v>B</v>
      </c>
      <c r="E10" s="41"/>
    </row>
    <row r="11" spans="1:5">
      <c r="A11" s="30">
        <f t="shared" si="0"/>
        <v>5</v>
      </c>
      <c r="B11" s="42">
        <v>2</v>
      </c>
      <c r="C11" s="42" t="s">
        <v>121</v>
      </c>
      <c r="D11" s="43" t="s">
        <v>766</v>
      </c>
      <c r="E11" s="44"/>
    </row>
    <row r="12" spans="1:5" ht="22.8">
      <c r="A12" s="30">
        <f t="shared" si="0"/>
        <v>7</v>
      </c>
      <c r="B12" s="30">
        <v>2</v>
      </c>
      <c r="C12" s="40" t="s">
        <v>123</v>
      </c>
      <c r="D12" s="32" t="s">
        <v>767</v>
      </c>
    </row>
    <row r="13" spans="1:5" ht="22.8">
      <c r="A13" s="30">
        <f t="shared" si="0"/>
        <v>9</v>
      </c>
      <c r="B13" s="30">
        <v>2</v>
      </c>
      <c r="C13" s="30" t="s">
        <v>127</v>
      </c>
      <c r="D13" s="32" t="s">
        <v>128</v>
      </c>
    </row>
    <row r="14" spans="1:5" ht="34.200000000000003">
      <c r="A14" s="30">
        <f t="shared" si="0"/>
        <v>11</v>
      </c>
      <c r="B14" s="30">
        <v>4</v>
      </c>
      <c r="C14" s="30" t="s">
        <v>129</v>
      </c>
      <c r="D14" s="32" t="s">
        <v>130</v>
      </c>
    </row>
    <row r="15" spans="1:5">
      <c r="A15" s="30">
        <f t="shared" si="0"/>
        <v>15</v>
      </c>
      <c r="B15" s="30">
        <v>1</v>
      </c>
      <c r="C15" s="30" t="s">
        <v>131</v>
      </c>
      <c r="D15" s="32" t="s">
        <v>132</v>
      </c>
    </row>
    <row r="16" spans="1:5">
      <c r="A16" s="30">
        <f t="shared" si="0"/>
        <v>16</v>
      </c>
      <c r="B16" s="53" t="s">
        <v>486</v>
      </c>
    </row>
    <row r="20" spans="1:5" ht="15">
      <c r="A20" s="34"/>
      <c r="B20" s="34"/>
    </row>
    <row r="21" spans="1:5" ht="15">
      <c r="A21" s="556" t="s">
        <v>768</v>
      </c>
      <c r="B21" s="556"/>
      <c r="C21" s="556"/>
      <c r="D21" s="556"/>
      <c r="E21" s="556"/>
    </row>
    <row r="23" spans="1:5" ht="15">
      <c r="A23" s="556" t="s">
        <v>769</v>
      </c>
      <c r="B23" s="556"/>
      <c r="C23" s="556"/>
      <c r="D23" s="556"/>
      <c r="E23" s="556"/>
    </row>
    <row r="24" spans="1:5" ht="15">
      <c r="A24" s="35"/>
      <c r="B24" s="34"/>
      <c r="D24" s="36"/>
    </row>
    <row r="25" spans="1:5" ht="30">
      <c r="A25" s="37" t="s">
        <v>110</v>
      </c>
      <c r="B25" s="37" t="s">
        <v>111</v>
      </c>
      <c r="C25" s="38" t="s">
        <v>112</v>
      </c>
      <c r="D25" s="39" t="s">
        <v>113</v>
      </c>
      <c r="E25" s="34"/>
    </row>
    <row r="26" spans="1:5">
      <c r="A26" s="30">
        <v>0</v>
      </c>
      <c r="B26" s="30">
        <v>1</v>
      </c>
      <c r="C26" s="54" t="s">
        <v>114</v>
      </c>
      <c r="D26" s="32" t="s">
        <v>115</v>
      </c>
    </row>
    <row r="27" spans="1:5" ht="22.8">
      <c r="A27" s="30">
        <f t="shared" ref="A27:A29" si="1">A26+B26</f>
        <v>1</v>
      </c>
      <c r="B27" s="30">
        <v>1</v>
      </c>
      <c r="C27" s="54" t="s">
        <v>770</v>
      </c>
      <c r="D27" s="32" t="s">
        <v>771</v>
      </c>
    </row>
    <row r="28" spans="1:5">
      <c r="A28" s="30">
        <f t="shared" si="1"/>
        <v>2</v>
      </c>
      <c r="B28" s="30">
        <v>1</v>
      </c>
      <c r="C28" s="54" t="s">
        <v>527</v>
      </c>
      <c r="D28" s="32" t="s">
        <v>1326</v>
      </c>
    </row>
    <row r="29" spans="1:5">
      <c r="A29" s="30">
        <f t="shared" si="1"/>
        <v>3</v>
      </c>
      <c r="B29" s="30">
        <v>3</v>
      </c>
      <c r="C29" s="55" t="s">
        <v>1426</v>
      </c>
      <c r="D29" s="56" t="s">
        <v>1427</v>
      </c>
      <c r="E29" s="41"/>
    </row>
    <row r="30" spans="1:5">
      <c r="A30" s="30">
        <f t="shared" ref="A30:A93" si="2">A29+B29</f>
        <v>6</v>
      </c>
      <c r="B30" s="42">
        <v>2</v>
      </c>
      <c r="C30" s="42" t="s">
        <v>121</v>
      </c>
      <c r="D30" s="43" t="s">
        <v>766</v>
      </c>
      <c r="E30" s="44"/>
    </row>
    <row r="31" spans="1:5">
      <c r="A31" s="30">
        <f t="shared" si="2"/>
        <v>8</v>
      </c>
      <c r="B31" s="42"/>
      <c r="C31" s="583" t="s">
        <v>773</v>
      </c>
      <c r="D31" s="583"/>
      <c r="E31" s="44"/>
    </row>
    <row r="32" spans="1:5">
      <c r="A32" s="30">
        <f t="shared" si="2"/>
        <v>8</v>
      </c>
      <c r="B32" s="42">
        <v>1</v>
      </c>
      <c r="C32" s="57" t="s">
        <v>41</v>
      </c>
      <c r="D32" s="46" t="s">
        <v>774</v>
      </c>
      <c r="E32" s="44"/>
    </row>
    <row r="33" spans="1:5" ht="26.4">
      <c r="A33" s="30">
        <f t="shared" si="2"/>
        <v>9</v>
      </c>
      <c r="B33" s="42">
        <v>2</v>
      </c>
      <c r="C33" s="58" t="s">
        <v>775</v>
      </c>
      <c r="D33" s="46" t="s">
        <v>776</v>
      </c>
      <c r="E33" s="44"/>
    </row>
    <row r="34" spans="1:5">
      <c r="A34" s="30">
        <f t="shared" si="2"/>
        <v>11</v>
      </c>
      <c r="B34" s="42">
        <v>1</v>
      </c>
      <c r="C34" s="58" t="s">
        <v>777</v>
      </c>
      <c r="D34" s="46" t="s">
        <v>774</v>
      </c>
      <c r="E34" s="44"/>
    </row>
    <row r="35" spans="1:5">
      <c r="A35" s="30">
        <f t="shared" si="2"/>
        <v>12</v>
      </c>
      <c r="B35" s="42">
        <v>1</v>
      </c>
      <c r="C35" s="58" t="s">
        <v>781</v>
      </c>
      <c r="D35" s="46" t="s">
        <v>1498</v>
      </c>
      <c r="E35" s="44"/>
    </row>
    <row r="36" spans="1:5" ht="79.8">
      <c r="A36" s="30">
        <f t="shared" si="2"/>
        <v>13</v>
      </c>
      <c r="B36" s="42">
        <v>1</v>
      </c>
      <c r="C36" s="40" t="s">
        <v>493</v>
      </c>
      <c r="D36" s="49" t="s">
        <v>1428</v>
      </c>
      <c r="E36" s="59"/>
    </row>
    <row r="37" spans="1:5" ht="39.6">
      <c r="A37" s="30">
        <f t="shared" si="2"/>
        <v>14</v>
      </c>
      <c r="B37" s="42">
        <v>1</v>
      </c>
      <c r="C37" s="60" t="s">
        <v>782</v>
      </c>
      <c r="D37" s="46" t="s">
        <v>783</v>
      </c>
      <c r="E37" s="44"/>
    </row>
    <row r="38" spans="1:5" ht="26.4">
      <c r="A38" s="30">
        <f t="shared" si="2"/>
        <v>15</v>
      </c>
      <c r="B38" s="42">
        <v>1</v>
      </c>
      <c r="C38" s="60" t="s">
        <v>784</v>
      </c>
      <c r="D38" s="46" t="s">
        <v>785</v>
      </c>
      <c r="E38" s="44"/>
    </row>
    <row r="39" spans="1:5" ht="39.6">
      <c r="A39" s="30">
        <f t="shared" si="2"/>
        <v>16</v>
      </c>
      <c r="B39" s="42">
        <v>1</v>
      </c>
      <c r="C39" s="60" t="s">
        <v>786</v>
      </c>
      <c r="D39" s="46" t="s">
        <v>787</v>
      </c>
      <c r="E39" s="44"/>
    </row>
    <row r="40" spans="1:5" ht="52.8">
      <c r="A40" s="30">
        <f t="shared" si="2"/>
        <v>17</v>
      </c>
      <c r="B40" s="42">
        <v>1</v>
      </c>
      <c r="C40" s="60" t="s">
        <v>788</v>
      </c>
      <c r="D40" s="46" t="s">
        <v>789</v>
      </c>
      <c r="E40" s="44"/>
    </row>
    <row r="41" spans="1:5" ht="39.6">
      <c r="A41" s="30">
        <f t="shared" si="2"/>
        <v>18</v>
      </c>
      <c r="B41" s="42">
        <v>1</v>
      </c>
      <c r="C41" s="60" t="s">
        <v>790</v>
      </c>
      <c r="D41" s="46" t="s">
        <v>791</v>
      </c>
      <c r="E41" s="44"/>
    </row>
    <row r="42" spans="1:5" ht="52.8">
      <c r="A42" s="30">
        <f t="shared" si="2"/>
        <v>19</v>
      </c>
      <c r="B42" s="42">
        <v>1</v>
      </c>
      <c r="C42" s="60" t="s">
        <v>792</v>
      </c>
      <c r="D42" s="46" t="s">
        <v>793</v>
      </c>
      <c r="E42" s="44"/>
    </row>
    <row r="43" spans="1:5" ht="66">
      <c r="A43" s="30">
        <f t="shared" si="2"/>
        <v>20</v>
      </c>
      <c r="B43" s="42">
        <v>1</v>
      </c>
      <c r="C43" s="60" t="s">
        <v>794</v>
      </c>
      <c r="D43" s="46" t="s">
        <v>795</v>
      </c>
      <c r="E43" s="44"/>
    </row>
    <row r="44" spans="1:5" ht="26.4">
      <c r="A44" s="30">
        <f t="shared" si="2"/>
        <v>21</v>
      </c>
      <c r="B44" s="42">
        <v>2</v>
      </c>
      <c r="C44" s="60" t="s">
        <v>796</v>
      </c>
      <c r="D44" s="46" t="s">
        <v>776</v>
      </c>
      <c r="E44" s="44"/>
    </row>
    <row r="45" spans="1:5" ht="52.8">
      <c r="A45" s="30">
        <f t="shared" si="2"/>
        <v>23</v>
      </c>
      <c r="B45" s="42">
        <v>16</v>
      </c>
      <c r="C45" s="60" t="s">
        <v>797</v>
      </c>
      <c r="D45" s="46" t="s">
        <v>798</v>
      </c>
      <c r="E45" s="44"/>
    </row>
    <row r="46" spans="1:5">
      <c r="A46" s="30">
        <f t="shared" si="2"/>
        <v>39</v>
      </c>
      <c r="B46" s="42"/>
      <c r="C46" s="583" t="s">
        <v>799</v>
      </c>
      <c r="D46" s="583"/>
      <c r="E46" s="44"/>
    </row>
    <row r="47" spans="1:5">
      <c r="A47" s="30">
        <f t="shared" si="2"/>
        <v>39</v>
      </c>
      <c r="B47" s="42">
        <v>1</v>
      </c>
      <c r="C47" s="57" t="s">
        <v>800</v>
      </c>
      <c r="D47" s="46" t="s">
        <v>774</v>
      </c>
      <c r="E47" s="44"/>
    </row>
    <row r="48" spans="1:5">
      <c r="A48" s="30">
        <f t="shared" si="2"/>
        <v>40</v>
      </c>
      <c r="B48" s="42">
        <v>2</v>
      </c>
      <c r="C48" s="58" t="s">
        <v>775</v>
      </c>
      <c r="D48" s="46" t="s">
        <v>774</v>
      </c>
      <c r="E48" s="44"/>
    </row>
    <row r="49" spans="1:5">
      <c r="A49" s="30">
        <f t="shared" si="2"/>
        <v>42</v>
      </c>
      <c r="B49" s="42">
        <v>1</v>
      </c>
      <c r="C49" s="58" t="s">
        <v>777</v>
      </c>
      <c r="D49" s="46" t="s">
        <v>774</v>
      </c>
      <c r="E49" s="44"/>
    </row>
    <row r="50" spans="1:5">
      <c r="A50" s="30">
        <f t="shared" si="2"/>
        <v>43</v>
      </c>
      <c r="B50" s="42">
        <v>1</v>
      </c>
      <c r="C50" s="58" t="s">
        <v>781</v>
      </c>
      <c r="D50" s="46" t="s">
        <v>774</v>
      </c>
      <c r="E50" s="44"/>
    </row>
    <row r="51" spans="1:5">
      <c r="A51" s="30">
        <f t="shared" si="2"/>
        <v>44</v>
      </c>
      <c r="B51" s="42">
        <v>1</v>
      </c>
      <c r="C51" s="40" t="s">
        <v>493</v>
      </c>
      <c r="D51" s="46" t="s">
        <v>774</v>
      </c>
      <c r="E51" s="44"/>
    </row>
    <row r="52" spans="1:5">
      <c r="A52" s="30">
        <f t="shared" si="2"/>
        <v>45</v>
      </c>
      <c r="B52" s="42">
        <v>1</v>
      </c>
      <c r="C52" s="60" t="s">
        <v>782</v>
      </c>
      <c r="D52" s="46" t="s">
        <v>774</v>
      </c>
      <c r="E52" s="44"/>
    </row>
    <row r="53" spans="1:5">
      <c r="A53" s="30">
        <f t="shared" si="2"/>
        <v>46</v>
      </c>
      <c r="B53" s="42">
        <v>1</v>
      </c>
      <c r="C53" s="60" t="s">
        <v>784</v>
      </c>
      <c r="D53" s="46" t="s">
        <v>774</v>
      </c>
      <c r="E53" s="44"/>
    </row>
    <row r="54" spans="1:5">
      <c r="A54" s="30">
        <f t="shared" si="2"/>
        <v>47</v>
      </c>
      <c r="B54" s="42">
        <v>1</v>
      </c>
      <c r="C54" s="60" t="s">
        <v>786</v>
      </c>
      <c r="D54" s="46" t="s">
        <v>774</v>
      </c>
      <c r="E54" s="44"/>
    </row>
    <row r="55" spans="1:5">
      <c r="A55" s="30">
        <f t="shared" si="2"/>
        <v>48</v>
      </c>
      <c r="B55" s="42">
        <v>1</v>
      </c>
      <c r="C55" s="60" t="s">
        <v>788</v>
      </c>
      <c r="D55" s="46" t="s">
        <v>774</v>
      </c>
      <c r="E55" s="44"/>
    </row>
    <row r="56" spans="1:5">
      <c r="A56" s="30">
        <f t="shared" si="2"/>
        <v>49</v>
      </c>
      <c r="B56" s="42">
        <v>1</v>
      </c>
      <c r="C56" s="60" t="s">
        <v>790</v>
      </c>
      <c r="D56" s="46" t="s">
        <v>774</v>
      </c>
      <c r="E56" s="44"/>
    </row>
    <row r="57" spans="1:5">
      <c r="A57" s="30">
        <f t="shared" si="2"/>
        <v>50</v>
      </c>
      <c r="B57" s="42">
        <v>1</v>
      </c>
      <c r="C57" s="60" t="s">
        <v>792</v>
      </c>
      <c r="D57" s="46" t="s">
        <v>774</v>
      </c>
      <c r="E57" s="44"/>
    </row>
    <row r="58" spans="1:5">
      <c r="A58" s="30">
        <f t="shared" si="2"/>
        <v>51</v>
      </c>
      <c r="B58" s="42">
        <v>1</v>
      </c>
      <c r="C58" s="60" t="s">
        <v>794</v>
      </c>
      <c r="D58" s="46" t="s">
        <v>774</v>
      </c>
      <c r="E58" s="44"/>
    </row>
    <row r="59" spans="1:5">
      <c r="A59" s="30">
        <f t="shared" si="2"/>
        <v>52</v>
      </c>
      <c r="B59" s="42">
        <v>2</v>
      </c>
      <c r="C59" s="60" t="s">
        <v>796</v>
      </c>
      <c r="D59" s="46" t="s">
        <v>774</v>
      </c>
      <c r="E59" s="44"/>
    </row>
    <row r="60" spans="1:5">
      <c r="A60" s="30">
        <f t="shared" si="2"/>
        <v>54</v>
      </c>
      <c r="B60" s="42">
        <v>16</v>
      </c>
      <c r="C60" s="60" t="s">
        <v>797</v>
      </c>
      <c r="D60" s="46" t="s">
        <v>774</v>
      </c>
      <c r="E60" s="44"/>
    </row>
    <row r="61" spans="1:5">
      <c r="A61" s="30">
        <f t="shared" si="2"/>
        <v>70</v>
      </c>
      <c r="B61" s="42"/>
      <c r="C61" s="583" t="s">
        <v>808</v>
      </c>
      <c r="D61" s="583"/>
      <c r="E61" s="44"/>
    </row>
    <row r="62" spans="1:5">
      <c r="A62" s="30">
        <f t="shared" si="2"/>
        <v>70</v>
      </c>
      <c r="B62" s="42">
        <v>1</v>
      </c>
      <c r="C62" s="57" t="s">
        <v>809</v>
      </c>
      <c r="D62" s="46" t="s">
        <v>774</v>
      </c>
      <c r="E62" s="44"/>
    </row>
    <row r="63" spans="1:5">
      <c r="A63" s="30">
        <f t="shared" si="2"/>
        <v>71</v>
      </c>
      <c r="B63" s="42">
        <v>2</v>
      </c>
      <c r="C63" s="58" t="s">
        <v>775</v>
      </c>
      <c r="D63" s="46" t="s">
        <v>774</v>
      </c>
      <c r="E63" s="44"/>
    </row>
    <row r="64" spans="1:5">
      <c r="A64" s="30">
        <f t="shared" si="2"/>
        <v>73</v>
      </c>
      <c r="B64" s="42">
        <v>1</v>
      </c>
      <c r="C64" s="58" t="s">
        <v>777</v>
      </c>
      <c r="D64" s="46" t="s">
        <v>774</v>
      </c>
      <c r="E64" s="44"/>
    </row>
    <row r="65" spans="1:5">
      <c r="A65" s="30">
        <f t="shared" si="2"/>
        <v>74</v>
      </c>
      <c r="B65" s="42">
        <v>1</v>
      </c>
      <c r="C65" s="58" t="s">
        <v>781</v>
      </c>
      <c r="D65" s="46" t="s">
        <v>774</v>
      </c>
      <c r="E65" s="44"/>
    </row>
    <row r="66" spans="1:5">
      <c r="A66" s="30">
        <f t="shared" si="2"/>
        <v>75</v>
      </c>
      <c r="B66" s="42">
        <v>1</v>
      </c>
      <c r="C66" s="40" t="s">
        <v>493</v>
      </c>
      <c r="D66" s="46" t="s">
        <v>774</v>
      </c>
      <c r="E66" s="44"/>
    </row>
    <row r="67" spans="1:5">
      <c r="A67" s="30">
        <f t="shared" si="2"/>
        <v>76</v>
      </c>
      <c r="B67" s="42">
        <v>1</v>
      </c>
      <c r="C67" s="60" t="s">
        <v>782</v>
      </c>
      <c r="D67" s="46" t="s">
        <v>774</v>
      </c>
      <c r="E67" s="44"/>
    </row>
    <row r="68" spans="1:5">
      <c r="A68" s="30">
        <f t="shared" si="2"/>
        <v>77</v>
      </c>
      <c r="B68" s="42">
        <v>1</v>
      </c>
      <c r="C68" s="60" t="s">
        <v>784</v>
      </c>
      <c r="D68" s="46" t="s">
        <v>774</v>
      </c>
      <c r="E68" s="44"/>
    </row>
    <row r="69" spans="1:5">
      <c r="A69" s="30">
        <f t="shared" si="2"/>
        <v>78</v>
      </c>
      <c r="B69" s="42">
        <v>1</v>
      </c>
      <c r="C69" s="60" t="s">
        <v>786</v>
      </c>
      <c r="D69" s="46" t="s">
        <v>774</v>
      </c>
      <c r="E69" s="44"/>
    </row>
    <row r="70" spans="1:5">
      <c r="A70" s="30">
        <f t="shared" si="2"/>
        <v>79</v>
      </c>
      <c r="B70" s="42">
        <v>1</v>
      </c>
      <c r="C70" s="60" t="s">
        <v>788</v>
      </c>
      <c r="D70" s="46" t="s">
        <v>774</v>
      </c>
      <c r="E70" s="44"/>
    </row>
    <row r="71" spans="1:5">
      <c r="A71" s="30">
        <f t="shared" si="2"/>
        <v>80</v>
      </c>
      <c r="B71" s="42">
        <v>1</v>
      </c>
      <c r="C71" s="60" t="s">
        <v>790</v>
      </c>
      <c r="D71" s="46" t="s">
        <v>774</v>
      </c>
      <c r="E71" s="44"/>
    </row>
    <row r="72" spans="1:5">
      <c r="A72" s="30">
        <f t="shared" si="2"/>
        <v>81</v>
      </c>
      <c r="B72" s="42">
        <v>1</v>
      </c>
      <c r="C72" s="60" t="s">
        <v>792</v>
      </c>
      <c r="D72" s="46" t="s">
        <v>774</v>
      </c>
      <c r="E72" s="44"/>
    </row>
    <row r="73" spans="1:5">
      <c r="A73" s="30">
        <f t="shared" si="2"/>
        <v>82</v>
      </c>
      <c r="B73" s="42">
        <v>1</v>
      </c>
      <c r="C73" s="60" t="s">
        <v>794</v>
      </c>
      <c r="D73" s="46" t="s">
        <v>774</v>
      </c>
      <c r="E73" s="44"/>
    </row>
    <row r="74" spans="1:5">
      <c r="A74" s="30">
        <f t="shared" si="2"/>
        <v>83</v>
      </c>
      <c r="B74" s="42">
        <v>2</v>
      </c>
      <c r="C74" s="60" t="s">
        <v>796</v>
      </c>
      <c r="D74" s="46" t="s">
        <v>774</v>
      </c>
      <c r="E74" s="44"/>
    </row>
    <row r="75" spans="1:5">
      <c r="A75" s="30">
        <f t="shared" si="2"/>
        <v>85</v>
      </c>
      <c r="B75" s="42">
        <v>16</v>
      </c>
      <c r="C75" s="60" t="s">
        <v>797</v>
      </c>
      <c r="D75" s="46" t="s">
        <v>774</v>
      </c>
      <c r="E75" s="44"/>
    </row>
    <row r="76" spans="1:5">
      <c r="A76" s="30">
        <f t="shared" si="2"/>
        <v>101</v>
      </c>
      <c r="B76" s="42"/>
      <c r="C76" s="583" t="s">
        <v>817</v>
      </c>
      <c r="D76" s="583"/>
      <c r="E76" s="44"/>
    </row>
    <row r="77" spans="1:5">
      <c r="A77" s="30">
        <f t="shared" si="2"/>
        <v>101</v>
      </c>
      <c r="B77" s="42">
        <v>2</v>
      </c>
      <c r="C77" s="57" t="s">
        <v>818</v>
      </c>
      <c r="D77" s="46" t="s">
        <v>819</v>
      </c>
      <c r="E77" s="44"/>
    </row>
    <row r="78" spans="1:5" ht="118.8">
      <c r="A78" s="30">
        <f t="shared" si="2"/>
        <v>103</v>
      </c>
      <c r="B78" s="42">
        <v>1</v>
      </c>
      <c r="C78" s="57" t="s">
        <v>820</v>
      </c>
      <c r="D78" s="46" t="s">
        <v>384</v>
      </c>
      <c r="E78" s="44"/>
    </row>
    <row r="79" spans="1:5" ht="277.2">
      <c r="A79" s="30">
        <f t="shared" si="2"/>
        <v>104</v>
      </c>
      <c r="B79" s="42">
        <v>1</v>
      </c>
      <c r="C79" s="42" t="s">
        <v>747</v>
      </c>
      <c r="D79" s="52" t="s">
        <v>1011</v>
      </c>
      <c r="E79" s="44"/>
    </row>
    <row r="80" spans="1:5" ht="52.8">
      <c r="A80" s="30">
        <f t="shared" si="2"/>
        <v>105</v>
      </c>
      <c r="B80" s="42">
        <v>16</v>
      </c>
      <c r="C80" s="60" t="s">
        <v>797</v>
      </c>
      <c r="D80" s="46" t="s">
        <v>821</v>
      </c>
      <c r="E80" s="44"/>
    </row>
    <row r="81" spans="1:5">
      <c r="A81" s="30">
        <f t="shared" si="2"/>
        <v>121</v>
      </c>
      <c r="B81" s="42">
        <v>20</v>
      </c>
      <c r="C81" s="57" t="s">
        <v>420</v>
      </c>
      <c r="D81" s="46" t="s">
        <v>822</v>
      </c>
      <c r="E81" s="44"/>
    </row>
    <row r="82" spans="1:5">
      <c r="A82" s="30">
        <f t="shared" si="2"/>
        <v>141</v>
      </c>
      <c r="B82" s="42">
        <v>20</v>
      </c>
      <c r="C82" s="57" t="s">
        <v>422</v>
      </c>
      <c r="D82" s="46" t="s">
        <v>823</v>
      </c>
      <c r="E82" s="44"/>
    </row>
    <row r="83" spans="1:5">
      <c r="A83" s="30">
        <f t="shared" si="2"/>
        <v>161</v>
      </c>
      <c r="B83" s="42">
        <v>20</v>
      </c>
      <c r="C83" s="57" t="s">
        <v>423</v>
      </c>
      <c r="D83" s="46" t="s">
        <v>824</v>
      </c>
      <c r="E83" s="44"/>
    </row>
    <row r="84" spans="1:5">
      <c r="A84" s="30">
        <f t="shared" si="2"/>
        <v>181</v>
      </c>
      <c r="B84" s="42">
        <v>20</v>
      </c>
      <c r="C84" s="57" t="s">
        <v>424</v>
      </c>
      <c r="D84" s="46" t="s">
        <v>825</v>
      </c>
      <c r="E84" s="44"/>
    </row>
    <row r="85" spans="1:5">
      <c r="A85" s="30">
        <f t="shared" si="2"/>
        <v>201</v>
      </c>
      <c r="B85" s="42">
        <v>20</v>
      </c>
      <c r="C85" s="57" t="s">
        <v>425</v>
      </c>
      <c r="D85" s="46" t="s">
        <v>826</v>
      </c>
      <c r="E85" s="44"/>
    </row>
    <row r="86" spans="1:5">
      <c r="A86" s="30">
        <f t="shared" si="2"/>
        <v>221</v>
      </c>
      <c r="B86" s="42">
        <v>20</v>
      </c>
      <c r="C86" s="57" t="s">
        <v>426</v>
      </c>
      <c r="D86" s="46" t="s">
        <v>774</v>
      </c>
      <c r="E86" s="44"/>
    </row>
    <row r="87" spans="1:5">
      <c r="A87" s="30">
        <f t="shared" si="2"/>
        <v>241</v>
      </c>
      <c r="B87" s="42">
        <v>20</v>
      </c>
      <c r="C87" s="57" t="s">
        <v>427</v>
      </c>
      <c r="D87" s="46" t="s">
        <v>774</v>
      </c>
      <c r="E87" s="44"/>
    </row>
    <row r="88" spans="1:5">
      <c r="A88" s="30">
        <f t="shared" si="2"/>
        <v>261</v>
      </c>
      <c r="B88" s="42">
        <v>20</v>
      </c>
      <c r="C88" s="57" t="s">
        <v>428</v>
      </c>
      <c r="D88" s="46" t="s">
        <v>774</v>
      </c>
      <c r="E88" s="44"/>
    </row>
    <row r="89" spans="1:5">
      <c r="A89" s="30">
        <f t="shared" si="2"/>
        <v>281</v>
      </c>
      <c r="B89" s="42">
        <v>20</v>
      </c>
      <c r="C89" s="57" t="s">
        <v>429</v>
      </c>
      <c r="D89" s="46" t="s">
        <v>774</v>
      </c>
      <c r="E89" s="44"/>
    </row>
    <row r="90" spans="1:5">
      <c r="A90" s="30">
        <f t="shared" si="2"/>
        <v>301</v>
      </c>
      <c r="B90" s="42">
        <v>20</v>
      </c>
      <c r="C90" s="57" t="s">
        <v>430</v>
      </c>
      <c r="D90" s="46" t="s">
        <v>774</v>
      </c>
      <c r="E90" s="44"/>
    </row>
    <row r="91" spans="1:5">
      <c r="A91" s="30">
        <f t="shared" si="2"/>
        <v>321</v>
      </c>
      <c r="B91" s="42">
        <v>20</v>
      </c>
      <c r="C91" s="57" t="s">
        <v>431</v>
      </c>
      <c r="D91" s="46" t="s">
        <v>774</v>
      </c>
      <c r="E91" s="44"/>
    </row>
    <row r="92" spans="1:5">
      <c r="A92" s="30">
        <f t="shared" si="2"/>
        <v>341</v>
      </c>
      <c r="B92" s="42">
        <v>20</v>
      </c>
      <c r="C92" s="57" t="s">
        <v>432</v>
      </c>
      <c r="D92" s="46" t="s">
        <v>774</v>
      </c>
      <c r="E92" s="44"/>
    </row>
    <row r="93" spans="1:5">
      <c r="A93" s="30">
        <f t="shared" si="2"/>
        <v>361</v>
      </c>
      <c r="B93" s="42">
        <v>20</v>
      </c>
      <c r="C93" s="57" t="s">
        <v>433</v>
      </c>
      <c r="D93" s="46" t="s">
        <v>774</v>
      </c>
      <c r="E93" s="44"/>
    </row>
    <row r="94" spans="1:5">
      <c r="A94" s="30">
        <f t="shared" ref="A94:A145" si="3">A93+B93</f>
        <v>381</v>
      </c>
      <c r="B94" s="42">
        <v>20</v>
      </c>
      <c r="C94" s="57" t="s">
        <v>434</v>
      </c>
      <c r="D94" s="46" t="s">
        <v>774</v>
      </c>
      <c r="E94" s="44"/>
    </row>
    <row r="95" spans="1:5">
      <c r="A95" s="30">
        <f t="shared" si="3"/>
        <v>401</v>
      </c>
      <c r="B95" s="42">
        <v>20</v>
      </c>
      <c r="C95" s="57" t="s">
        <v>435</v>
      </c>
      <c r="D95" s="46" t="s">
        <v>774</v>
      </c>
      <c r="E95" s="44"/>
    </row>
    <row r="96" spans="1:5">
      <c r="A96" s="30">
        <f t="shared" si="3"/>
        <v>421</v>
      </c>
      <c r="B96" s="42">
        <v>20</v>
      </c>
      <c r="C96" s="57" t="s">
        <v>436</v>
      </c>
      <c r="D96" s="46" t="s">
        <v>774</v>
      </c>
      <c r="E96" s="44"/>
    </row>
    <row r="97" spans="1:5">
      <c r="A97" s="30">
        <f t="shared" si="3"/>
        <v>441</v>
      </c>
      <c r="B97" s="42">
        <v>20</v>
      </c>
      <c r="C97" s="57" t="s">
        <v>437</v>
      </c>
      <c r="D97" s="46" t="s">
        <v>774</v>
      </c>
      <c r="E97" s="44"/>
    </row>
    <row r="98" spans="1:5">
      <c r="A98" s="30">
        <f t="shared" si="3"/>
        <v>461</v>
      </c>
      <c r="B98" s="42">
        <v>20</v>
      </c>
      <c r="C98" s="57" t="s">
        <v>438</v>
      </c>
      <c r="D98" s="46" t="s">
        <v>774</v>
      </c>
      <c r="E98" s="44"/>
    </row>
    <row r="99" spans="1:5">
      <c r="A99" s="30">
        <f t="shared" si="3"/>
        <v>481</v>
      </c>
      <c r="B99" s="42">
        <v>20</v>
      </c>
      <c r="C99" s="57" t="s">
        <v>439</v>
      </c>
      <c r="D99" s="46" t="s">
        <v>774</v>
      </c>
      <c r="E99" s="44"/>
    </row>
    <row r="100" spans="1:5">
      <c r="A100" s="30">
        <f t="shared" si="3"/>
        <v>501</v>
      </c>
      <c r="B100" s="42">
        <v>20</v>
      </c>
      <c r="C100" s="57" t="s">
        <v>440</v>
      </c>
      <c r="D100" s="46" t="s">
        <v>774</v>
      </c>
      <c r="E100" s="44"/>
    </row>
    <row r="101" spans="1:5">
      <c r="A101" s="30">
        <f t="shared" si="3"/>
        <v>521</v>
      </c>
      <c r="B101" s="42">
        <v>20</v>
      </c>
      <c r="C101" s="57" t="s">
        <v>441</v>
      </c>
      <c r="D101" s="46" t="s">
        <v>774</v>
      </c>
      <c r="E101" s="44"/>
    </row>
    <row r="102" spans="1:5">
      <c r="A102" s="30">
        <f t="shared" si="3"/>
        <v>541</v>
      </c>
      <c r="B102" s="42">
        <v>20</v>
      </c>
      <c r="C102" s="57" t="s">
        <v>442</v>
      </c>
      <c r="D102" s="46" t="s">
        <v>774</v>
      </c>
      <c r="E102" s="44"/>
    </row>
    <row r="103" spans="1:5">
      <c r="A103" s="30">
        <f t="shared" si="3"/>
        <v>561</v>
      </c>
      <c r="B103" s="42">
        <v>20</v>
      </c>
      <c r="C103" s="57" t="s">
        <v>443</v>
      </c>
      <c r="D103" s="46" t="s">
        <v>774</v>
      </c>
      <c r="E103" s="44"/>
    </row>
    <row r="104" spans="1:5">
      <c r="A104" s="30">
        <f t="shared" si="3"/>
        <v>581</v>
      </c>
      <c r="B104" s="42">
        <v>20</v>
      </c>
      <c r="C104" s="57" t="s">
        <v>444</v>
      </c>
      <c r="D104" s="46" t="s">
        <v>774</v>
      </c>
      <c r="E104" s="44"/>
    </row>
    <row r="105" spans="1:5">
      <c r="A105" s="30">
        <f t="shared" si="3"/>
        <v>601</v>
      </c>
      <c r="B105" s="42">
        <v>20</v>
      </c>
      <c r="C105" s="57" t="s">
        <v>445</v>
      </c>
      <c r="D105" s="46" t="s">
        <v>774</v>
      </c>
      <c r="E105" s="44"/>
    </row>
    <row r="106" spans="1:5">
      <c r="A106" s="30">
        <f t="shared" si="3"/>
        <v>621</v>
      </c>
      <c r="B106" s="42">
        <v>20</v>
      </c>
      <c r="C106" s="57" t="s">
        <v>446</v>
      </c>
      <c r="D106" s="46" t="s">
        <v>774</v>
      </c>
      <c r="E106" s="44"/>
    </row>
    <row r="107" spans="1:5">
      <c r="A107" s="30">
        <f t="shared" si="3"/>
        <v>641</v>
      </c>
      <c r="B107" s="42">
        <v>20</v>
      </c>
      <c r="C107" s="57" t="s">
        <v>447</v>
      </c>
      <c r="D107" s="46" t="s">
        <v>774</v>
      </c>
      <c r="E107" s="44"/>
    </row>
    <row r="108" spans="1:5">
      <c r="A108" s="30">
        <f t="shared" si="3"/>
        <v>661</v>
      </c>
      <c r="B108" s="42">
        <v>20</v>
      </c>
      <c r="C108" s="57" t="s">
        <v>448</v>
      </c>
      <c r="D108" s="46" t="s">
        <v>774</v>
      </c>
      <c r="E108" s="44"/>
    </row>
    <row r="109" spans="1:5">
      <c r="A109" s="30">
        <f t="shared" si="3"/>
        <v>681</v>
      </c>
      <c r="B109" s="42">
        <v>20</v>
      </c>
      <c r="C109" s="57" t="s">
        <v>449</v>
      </c>
      <c r="D109" s="46" t="s">
        <v>774</v>
      </c>
      <c r="E109" s="44"/>
    </row>
    <row r="110" spans="1:5">
      <c r="A110" s="30">
        <f t="shared" si="3"/>
        <v>701</v>
      </c>
      <c r="B110" s="42">
        <v>20</v>
      </c>
      <c r="C110" s="57" t="s">
        <v>450</v>
      </c>
      <c r="D110" s="46" t="s">
        <v>774</v>
      </c>
      <c r="E110" s="44"/>
    </row>
    <row r="111" spans="1:5">
      <c r="A111" s="30">
        <f t="shared" si="3"/>
        <v>721</v>
      </c>
      <c r="B111" s="42">
        <v>20</v>
      </c>
      <c r="C111" s="57" t="s">
        <v>451</v>
      </c>
      <c r="D111" s="46" t="s">
        <v>774</v>
      </c>
      <c r="E111" s="44"/>
    </row>
    <row r="112" spans="1:5">
      <c r="A112" s="30">
        <f t="shared" si="3"/>
        <v>741</v>
      </c>
      <c r="B112" s="42">
        <v>20</v>
      </c>
      <c r="C112" s="57" t="s">
        <v>452</v>
      </c>
      <c r="D112" s="46" t="s">
        <v>774</v>
      </c>
      <c r="E112" s="44"/>
    </row>
    <row r="113" spans="1:5">
      <c r="A113" s="30">
        <f t="shared" si="3"/>
        <v>761</v>
      </c>
      <c r="B113" s="42">
        <v>20</v>
      </c>
      <c r="C113" s="57" t="s">
        <v>453</v>
      </c>
      <c r="D113" s="46" t="s">
        <v>774</v>
      </c>
      <c r="E113" s="44"/>
    </row>
    <row r="114" spans="1:5">
      <c r="A114" s="30">
        <f t="shared" si="3"/>
        <v>781</v>
      </c>
      <c r="B114" s="42">
        <v>20</v>
      </c>
      <c r="C114" s="57" t="s">
        <v>454</v>
      </c>
      <c r="D114" s="46" t="s">
        <v>774</v>
      </c>
      <c r="E114" s="44"/>
    </row>
    <row r="115" spans="1:5">
      <c r="A115" s="30">
        <f t="shared" si="3"/>
        <v>801</v>
      </c>
      <c r="B115" s="42">
        <v>20</v>
      </c>
      <c r="C115" s="57" t="s">
        <v>455</v>
      </c>
      <c r="D115" s="46" t="s">
        <v>774</v>
      </c>
      <c r="E115" s="44"/>
    </row>
    <row r="116" spans="1:5">
      <c r="A116" s="30">
        <f t="shared" si="3"/>
        <v>821</v>
      </c>
      <c r="B116" s="42">
        <v>20</v>
      </c>
      <c r="C116" s="57" t="s">
        <v>456</v>
      </c>
      <c r="D116" s="46" t="s">
        <v>774</v>
      </c>
      <c r="E116" s="44"/>
    </row>
    <row r="117" spans="1:5">
      <c r="A117" s="30">
        <f t="shared" si="3"/>
        <v>841</v>
      </c>
      <c r="B117" s="42">
        <v>20</v>
      </c>
      <c r="C117" s="57" t="s">
        <v>457</v>
      </c>
      <c r="D117" s="46" t="s">
        <v>774</v>
      </c>
      <c r="E117" s="44"/>
    </row>
    <row r="118" spans="1:5">
      <c r="A118" s="30">
        <f t="shared" si="3"/>
        <v>861</v>
      </c>
      <c r="B118" s="42">
        <v>20</v>
      </c>
      <c r="C118" s="57" t="s">
        <v>458</v>
      </c>
      <c r="D118" s="46" t="s">
        <v>774</v>
      </c>
      <c r="E118" s="44"/>
    </row>
    <row r="119" spans="1:5">
      <c r="A119" s="30">
        <f t="shared" si="3"/>
        <v>881</v>
      </c>
      <c r="B119" s="42">
        <v>20</v>
      </c>
      <c r="C119" s="57" t="s">
        <v>459</v>
      </c>
      <c r="D119" s="46" t="s">
        <v>774</v>
      </c>
      <c r="E119" s="44"/>
    </row>
    <row r="120" spans="1:5">
      <c r="A120" s="30">
        <f t="shared" si="3"/>
        <v>901</v>
      </c>
      <c r="B120" s="42">
        <v>20</v>
      </c>
      <c r="C120" s="57" t="s">
        <v>460</v>
      </c>
      <c r="D120" s="46" t="s">
        <v>774</v>
      </c>
      <c r="E120" s="44"/>
    </row>
    <row r="121" spans="1:5">
      <c r="A121" s="30">
        <f t="shared" si="3"/>
        <v>921</v>
      </c>
      <c r="B121" s="42">
        <v>20</v>
      </c>
      <c r="C121" s="57" t="s">
        <v>461</v>
      </c>
      <c r="D121" s="46" t="s">
        <v>774</v>
      </c>
      <c r="E121" s="44"/>
    </row>
    <row r="122" spans="1:5">
      <c r="A122" s="30">
        <f t="shared" si="3"/>
        <v>941</v>
      </c>
      <c r="B122" s="42">
        <v>20</v>
      </c>
      <c r="C122" s="57" t="s">
        <v>462</v>
      </c>
      <c r="D122" s="46" t="s">
        <v>774</v>
      </c>
      <c r="E122" s="44"/>
    </row>
    <row r="123" spans="1:5">
      <c r="A123" s="30">
        <f t="shared" si="3"/>
        <v>961</v>
      </c>
      <c r="B123" s="42">
        <v>20</v>
      </c>
      <c r="C123" s="57" t="s">
        <v>463</v>
      </c>
      <c r="D123" s="46" t="s">
        <v>774</v>
      </c>
      <c r="E123" s="44"/>
    </row>
    <row r="124" spans="1:5">
      <c r="A124" s="30">
        <f t="shared" si="3"/>
        <v>981</v>
      </c>
      <c r="B124" s="42">
        <v>20</v>
      </c>
      <c r="C124" s="57" t="s">
        <v>464</v>
      </c>
      <c r="D124" s="46" t="s">
        <v>774</v>
      </c>
      <c r="E124" s="44"/>
    </row>
    <row r="125" spans="1:5">
      <c r="A125" s="30">
        <f t="shared" si="3"/>
        <v>1001</v>
      </c>
      <c r="B125" s="42">
        <v>20</v>
      </c>
      <c r="C125" s="57" t="s">
        <v>465</v>
      </c>
      <c r="D125" s="46" t="s">
        <v>774</v>
      </c>
      <c r="E125" s="44"/>
    </row>
    <row r="126" spans="1:5">
      <c r="A126" s="30">
        <f t="shared" si="3"/>
        <v>1021</v>
      </c>
      <c r="B126" s="42">
        <v>20</v>
      </c>
      <c r="C126" s="57" t="s">
        <v>466</v>
      </c>
      <c r="D126" s="46" t="s">
        <v>774</v>
      </c>
      <c r="E126" s="44"/>
    </row>
    <row r="127" spans="1:5">
      <c r="A127" s="30">
        <f t="shared" si="3"/>
        <v>1041</v>
      </c>
      <c r="B127" s="42">
        <v>20</v>
      </c>
      <c r="C127" s="57" t="s">
        <v>467</v>
      </c>
      <c r="D127" s="46" t="s">
        <v>774</v>
      </c>
      <c r="E127" s="44"/>
    </row>
    <row r="128" spans="1:5">
      <c r="A128" s="30">
        <f t="shared" si="3"/>
        <v>1061</v>
      </c>
      <c r="B128" s="42">
        <v>20</v>
      </c>
      <c r="C128" s="57" t="s">
        <v>468</v>
      </c>
      <c r="D128" s="46" t="s">
        <v>774</v>
      </c>
      <c r="E128" s="44"/>
    </row>
    <row r="129" spans="1:5">
      <c r="A129" s="30">
        <f t="shared" si="3"/>
        <v>1081</v>
      </c>
      <c r="B129" s="42">
        <v>20</v>
      </c>
      <c r="C129" s="57" t="s">
        <v>469</v>
      </c>
      <c r="D129" s="46" t="s">
        <v>774</v>
      </c>
      <c r="E129" s="44"/>
    </row>
    <row r="130" spans="1:5">
      <c r="A130" s="30">
        <f t="shared" si="3"/>
        <v>1101</v>
      </c>
      <c r="B130" s="42">
        <v>20</v>
      </c>
      <c r="C130" s="57" t="s">
        <v>470</v>
      </c>
      <c r="D130" s="46" t="s">
        <v>774</v>
      </c>
      <c r="E130" s="44"/>
    </row>
    <row r="131" spans="1:5">
      <c r="A131" s="30">
        <f t="shared" si="3"/>
        <v>1121</v>
      </c>
      <c r="B131" s="42">
        <v>20</v>
      </c>
      <c r="C131" s="57" t="s">
        <v>471</v>
      </c>
      <c r="D131" s="46" t="s">
        <v>774</v>
      </c>
      <c r="E131" s="44"/>
    </row>
    <row r="132" spans="1:5">
      <c r="A132" s="30">
        <f t="shared" si="3"/>
        <v>1141</v>
      </c>
      <c r="B132" s="42">
        <v>20</v>
      </c>
      <c r="C132" s="57" t="s">
        <v>472</v>
      </c>
      <c r="D132" s="46" t="s">
        <v>774</v>
      </c>
      <c r="E132" s="44"/>
    </row>
    <row r="133" spans="1:5">
      <c r="A133" s="30">
        <f t="shared" si="3"/>
        <v>1161</v>
      </c>
      <c r="B133" s="42">
        <v>20</v>
      </c>
      <c r="C133" s="57" t="s">
        <v>473</v>
      </c>
      <c r="D133" s="46" t="s">
        <v>774</v>
      </c>
      <c r="E133" s="44"/>
    </row>
    <row r="134" spans="1:5">
      <c r="A134" s="30">
        <f t="shared" si="3"/>
        <v>1181</v>
      </c>
      <c r="B134" s="42">
        <v>20</v>
      </c>
      <c r="C134" s="57" t="s">
        <v>474</v>
      </c>
      <c r="D134" s="46" t="s">
        <v>774</v>
      </c>
      <c r="E134" s="44"/>
    </row>
    <row r="135" spans="1:5">
      <c r="A135" s="30">
        <f t="shared" si="3"/>
        <v>1201</v>
      </c>
      <c r="B135" s="42">
        <v>20</v>
      </c>
      <c r="C135" s="57" t="s">
        <v>475</v>
      </c>
      <c r="D135" s="46" t="s">
        <v>774</v>
      </c>
      <c r="E135" s="44"/>
    </row>
    <row r="136" spans="1:5">
      <c r="A136" s="30">
        <f t="shared" si="3"/>
        <v>1221</v>
      </c>
      <c r="B136" s="42">
        <v>20</v>
      </c>
      <c r="C136" s="57" t="s">
        <v>476</v>
      </c>
      <c r="D136" s="46" t="s">
        <v>774</v>
      </c>
      <c r="E136" s="44"/>
    </row>
    <row r="137" spans="1:5">
      <c r="A137" s="30">
        <f t="shared" si="3"/>
        <v>1241</v>
      </c>
      <c r="B137" s="42">
        <v>20</v>
      </c>
      <c r="C137" s="57" t="s">
        <v>477</v>
      </c>
      <c r="D137" s="46" t="s">
        <v>774</v>
      </c>
      <c r="E137" s="44"/>
    </row>
    <row r="138" spans="1:5">
      <c r="A138" s="30">
        <f t="shared" si="3"/>
        <v>1261</v>
      </c>
      <c r="B138" s="42">
        <v>20</v>
      </c>
      <c r="C138" s="57" t="s">
        <v>478</v>
      </c>
      <c r="D138" s="46" t="s">
        <v>774</v>
      </c>
      <c r="E138" s="44"/>
    </row>
    <row r="139" spans="1:5">
      <c r="A139" s="30">
        <f t="shared" si="3"/>
        <v>1281</v>
      </c>
      <c r="B139" s="42">
        <v>20</v>
      </c>
      <c r="C139" s="57" t="s">
        <v>479</v>
      </c>
      <c r="D139" s="46" t="s">
        <v>774</v>
      </c>
      <c r="E139" s="44"/>
    </row>
    <row r="140" spans="1:5">
      <c r="A140" s="30">
        <f t="shared" si="3"/>
        <v>1301</v>
      </c>
      <c r="B140" s="42">
        <v>20</v>
      </c>
      <c r="C140" s="57" t="s">
        <v>480</v>
      </c>
      <c r="D140" s="46" t="s">
        <v>774</v>
      </c>
      <c r="E140" s="44"/>
    </row>
    <row r="141" spans="1:5">
      <c r="A141" s="30">
        <f t="shared" si="3"/>
        <v>1321</v>
      </c>
      <c r="B141" s="42">
        <v>20</v>
      </c>
      <c r="C141" s="57" t="s">
        <v>481</v>
      </c>
      <c r="D141" s="46" t="s">
        <v>774</v>
      </c>
      <c r="E141" s="44"/>
    </row>
    <row r="142" spans="1:5" ht="22.8">
      <c r="A142" s="30">
        <f t="shared" si="3"/>
        <v>1341</v>
      </c>
      <c r="B142" s="30">
        <v>2</v>
      </c>
      <c r="C142" s="30" t="s">
        <v>127</v>
      </c>
      <c r="D142" s="32" t="s">
        <v>128</v>
      </c>
    </row>
    <row r="143" spans="1:5" ht="34.200000000000003">
      <c r="A143" s="30">
        <f t="shared" si="3"/>
        <v>1343</v>
      </c>
      <c r="B143" s="30">
        <v>4</v>
      </c>
      <c r="C143" s="30" t="s">
        <v>129</v>
      </c>
      <c r="D143" s="32" t="s">
        <v>130</v>
      </c>
    </row>
    <row r="144" spans="1:5">
      <c r="A144" s="30">
        <f t="shared" si="3"/>
        <v>1347</v>
      </c>
      <c r="B144" s="30">
        <v>1</v>
      </c>
      <c r="C144" s="30" t="s">
        <v>131</v>
      </c>
      <c r="D144" s="32" t="s">
        <v>132</v>
      </c>
    </row>
    <row r="145" spans="1:2">
      <c r="A145" s="30">
        <f t="shared" si="3"/>
        <v>1348</v>
      </c>
      <c r="B145" s="53" t="s">
        <v>486</v>
      </c>
    </row>
  </sheetData>
  <mergeCells count="8">
    <mergeCell ref="C46:D46"/>
    <mergeCell ref="C61:D61"/>
    <mergeCell ref="C76:D76"/>
    <mergeCell ref="A2:E2"/>
    <mergeCell ref="A4:E4"/>
    <mergeCell ref="A21:E21"/>
    <mergeCell ref="A23:E23"/>
    <mergeCell ref="C31:D31"/>
  </mergeCells>
  <pageMargins left="0.69861111111111096" right="0.69861111111111096" top="0.75" bottom="0.75" header="0.3" footer="0.3"/>
  <headerFooter scaleWithDoc="0"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44"/>
  <sheetViews>
    <sheetView topLeftCell="A19" workbookViewId="0">
      <selection activeCell="D54" sqref="D54"/>
    </sheetView>
  </sheetViews>
  <sheetFormatPr defaultColWidth="9.109375" defaultRowHeight="13.2"/>
  <cols>
    <col min="1" max="1" width="24.21875" style="30" customWidth="1"/>
    <col min="2" max="2" width="17.6640625" style="30" customWidth="1"/>
    <col min="3" max="3" width="26" style="31" customWidth="1"/>
    <col min="4" max="4" width="36.5546875" style="32" customWidth="1"/>
    <col min="5" max="5" width="31.21875" style="33" customWidth="1"/>
  </cols>
  <sheetData>
    <row r="1" spans="1:5" ht="15">
      <c r="A1" s="34"/>
      <c r="B1" s="34"/>
    </row>
    <row r="2" spans="1:5" ht="15">
      <c r="A2" s="556" t="s">
        <v>883</v>
      </c>
      <c r="B2" s="556"/>
      <c r="C2" s="556"/>
      <c r="D2" s="556"/>
      <c r="E2" s="556"/>
    </row>
    <row r="4" spans="1:5" ht="15">
      <c r="A4" s="556" t="s">
        <v>884</v>
      </c>
      <c r="B4" s="556"/>
      <c r="C4" s="556"/>
      <c r="D4" s="556"/>
      <c r="E4" s="556"/>
    </row>
    <row r="5" spans="1:5" ht="15">
      <c r="A5" s="35"/>
      <c r="B5" s="34"/>
      <c r="D5" s="36"/>
    </row>
    <row r="6" spans="1:5" ht="30">
      <c r="A6" s="37" t="s">
        <v>110</v>
      </c>
      <c r="B6" s="37" t="s">
        <v>111</v>
      </c>
      <c r="C6" s="38" t="s">
        <v>112</v>
      </c>
      <c r="D6" s="39" t="s">
        <v>113</v>
      </c>
      <c r="E6" s="34"/>
    </row>
    <row r="7" spans="1:5">
      <c r="A7" s="30">
        <v>0</v>
      </c>
      <c r="B7" s="30">
        <v>1</v>
      </c>
      <c r="C7" s="31" t="s">
        <v>114</v>
      </c>
      <c r="D7" s="32" t="s">
        <v>115</v>
      </c>
    </row>
    <row r="8" spans="1:5">
      <c r="A8" s="30">
        <f t="shared" ref="A8:A10" si="0">A7+B7</f>
        <v>1</v>
      </c>
      <c r="B8" s="30">
        <v>1</v>
      </c>
      <c r="C8" s="31" t="s">
        <v>885</v>
      </c>
      <c r="D8" s="32" t="s">
        <v>886</v>
      </c>
    </row>
    <row r="9" spans="1:5">
      <c r="A9" s="30">
        <f t="shared" si="0"/>
        <v>2</v>
      </c>
      <c r="B9" s="30">
        <v>1</v>
      </c>
      <c r="C9" s="31" t="s">
        <v>527</v>
      </c>
      <c r="D9" s="32" t="s">
        <v>772</v>
      </c>
    </row>
    <row r="10" spans="1:5" ht="39.6">
      <c r="A10" s="30">
        <f t="shared" si="0"/>
        <v>3</v>
      </c>
      <c r="B10" s="30">
        <v>3</v>
      </c>
      <c r="C10" s="40" t="s">
        <v>120</v>
      </c>
      <c r="D10" s="32" t="str">
        <f>DEC2HEX(A126-5)</f>
        <v>53F</v>
      </c>
      <c r="E10" s="41"/>
    </row>
    <row r="11" spans="1:5">
      <c r="A11" s="30">
        <f t="shared" ref="A11:A74" si="1">A10+B10</f>
        <v>6</v>
      </c>
      <c r="B11" s="42">
        <v>2</v>
      </c>
      <c r="C11" s="42" t="s">
        <v>121</v>
      </c>
      <c r="D11" s="43" t="s">
        <v>766</v>
      </c>
      <c r="E11" s="44"/>
    </row>
    <row r="12" spans="1:5">
      <c r="A12" s="30">
        <f t="shared" si="1"/>
        <v>8</v>
      </c>
      <c r="B12" s="42"/>
      <c r="C12" s="584" t="s">
        <v>773</v>
      </c>
      <c r="D12" s="584"/>
      <c r="E12" s="44"/>
    </row>
    <row r="13" spans="1:5">
      <c r="A13" s="30">
        <f t="shared" si="1"/>
        <v>8</v>
      </c>
      <c r="B13" s="42">
        <v>1</v>
      </c>
      <c r="C13" s="45" t="s">
        <v>41</v>
      </c>
      <c r="D13" s="46" t="s">
        <v>774</v>
      </c>
      <c r="E13" s="44"/>
    </row>
    <row r="14" spans="1:5">
      <c r="A14" s="30">
        <f t="shared" si="1"/>
        <v>9</v>
      </c>
      <c r="B14" s="42">
        <v>2</v>
      </c>
      <c r="C14" s="47" t="s">
        <v>775</v>
      </c>
      <c r="D14" s="46" t="s">
        <v>776</v>
      </c>
      <c r="E14" s="44"/>
    </row>
    <row r="15" spans="1:5">
      <c r="A15" s="30">
        <f t="shared" si="1"/>
        <v>11</v>
      </c>
      <c r="B15" s="42">
        <v>1</v>
      </c>
      <c r="C15" s="47" t="s">
        <v>777</v>
      </c>
      <c r="D15" s="46" t="s">
        <v>774</v>
      </c>
      <c r="E15" s="44"/>
    </row>
    <row r="16" spans="1:5">
      <c r="A16" s="30">
        <f t="shared" si="1"/>
        <v>12</v>
      </c>
      <c r="B16" s="42">
        <v>1</v>
      </c>
      <c r="C16" s="47" t="s">
        <v>781</v>
      </c>
      <c r="D16" s="46" t="s">
        <v>1498</v>
      </c>
      <c r="E16" s="44"/>
    </row>
    <row r="17" spans="1:5" ht="79.8">
      <c r="A17" s="30">
        <f t="shared" si="1"/>
        <v>13</v>
      </c>
      <c r="B17" s="42">
        <v>1</v>
      </c>
      <c r="C17" s="48" t="s">
        <v>493</v>
      </c>
      <c r="D17" s="49" t="s">
        <v>1428</v>
      </c>
      <c r="E17" s="44"/>
    </row>
    <row r="18" spans="1:5" ht="39.6">
      <c r="A18" s="30">
        <f t="shared" si="1"/>
        <v>14</v>
      </c>
      <c r="B18" s="42">
        <v>1</v>
      </c>
      <c r="C18" s="50" t="s">
        <v>782</v>
      </c>
      <c r="D18" s="46" t="s">
        <v>783</v>
      </c>
      <c r="E18" s="44"/>
    </row>
    <row r="19" spans="1:5" ht="26.4">
      <c r="A19" s="30">
        <f t="shared" si="1"/>
        <v>15</v>
      </c>
      <c r="B19" s="42">
        <v>1</v>
      </c>
      <c r="C19" s="50" t="s">
        <v>784</v>
      </c>
      <c r="D19" s="46" t="s">
        <v>785</v>
      </c>
      <c r="E19" s="44"/>
    </row>
    <row r="20" spans="1:5" ht="39.6">
      <c r="A20" s="30">
        <f t="shared" si="1"/>
        <v>16</v>
      </c>
      <c r="B20" s="42">
        <v>1</v>
      </c>
      <c r="C20" s="50" t="s">
        <v>786</v>
      </c>
      <c r="D20" s="46" t="s">
        <v>887</v>
      </c>
      <c r="E20" s="44"/>
    </row>
    <row r="21" spans="1:5" ht="52.8">
      <c r="A21" s="30">
        <f t="shared" si="1"/>
        <v>17</v>
      </c>
      <c r="B21" s="42">
        <v>1</v>
      </c>
      <c r="C21" s="50" t="s">
        <v>788</v>
      </c>
      <c r="D21" s="46" t="s">
        <v>888</v>
      </c>
      <c r="E21" s="44"/>
    </row>
    <row r="22" spans="1:5" ht="39.6">
      <c r="A22" s="30">
        <f t="shared" si="1"/>
        <v>18</v>
      </c>
      <c r="B22" s="42">
        <v>1</v>
      </c>
      <c r="C22" s="50" t="s">
        <v>790</v>
      </c>
      <c r="D22" s="46" t="s">
        <v>889</v>
      </c>
      <c r="E22" s="44"/>
    </row>
    <row r="23" spans="1:5" ht="52.8">
      <c r="A23" s="30">
        <f t="shared" si="1"/>
        <v>19</v>
      </c>
      <c r="B23" s="42">
        <v>1</v>
      </c>
      <c r="C23" s="50" t="s">
        <v>792</v>
      </c>
      <c r="D23" s="46" t="s">
        <v>890</v>
      </c>
      <c r="E23" s="44"/>
    </row>
    <row r="24" spans="1:5" ht="66">
      <c r="A24" s="30">
        <f t="shared" si="1"/>
        <v>20</v>
      </c>
      <c r="B24" s="42">
        <v>1</v>
      </c>
      <c r="C24" s="50" t="s">
        <v>794</v>
      </c>
      <c r="D24" s="46" t="s">
        <v>891</v>
      </c>
      <c r="E24" s="44"/>
    </row>
    <row r="25" spans="1:5">
      <c r="A25" s="30">
        <f t="shared" si="1"/>
        <v>21</v>
      </c>
      <c r="B25" s="42">
        <v>2</v>
      </c>
      <c r="C25" s="50" t="s">
        <v>796</v>
      </c>
      <c r="D25" s="46" t="s">
        <v>776</v>
      </c>
      <c r="E25" s="44"/>
    </row>
    <row r="26" spans="1:5" ht="52.8">
      <c r="A26" s="30">
        <f t="shared" si="1"/>
        <v>23</v>
      </c>
      <c r="B26" s="42">
        <v>16</v>
      </c>
      <c r="C26" s="51" t="s">
        <v>797</v>
      </c>
      <c r="D26" s="46" t="s">
        <v>892</v>
      </c>
      <c r="E26" s="44"/>
    </row>
    <row r="27" spans="1:5">
      <c r="A27" s="30">
        <f t="shared" si="1"/>
        <v>39</v>
      </c>
      <c r="B27" s="42"/>
      <c r="C27" s="584" t="s">
        <v>799</v>
      </c>
      <c r="D27" s="584"/>
      <c r="E27" s="44"/>
    </row>
    <row r="28" spans="1:5">
      <c r="A28" s="30">
        <f t="shared" si="1"/>
        <v>39</v>
      </c>
      <c r="B28" s="42">
        <v>1</v>
      </c>
      <c r="C28" s="45" t="s">
        <v>800</v>
      </c>
      <c r="D28" s="46" t="s">
        <v>774</v>
      </c>
      <c r="E28" s="44"/>
    </row>
    <row r="29" spans="1:5">
      <c r="A29" s="30">
        <f t="shared" si="1"/>
        <v>40</v>
      </c>
      <c r="B29" s="42">
        <v>2</v>
      </c>
      <c r="C29" s="47" t="s">
        <v>775</v>
      </c>
      <c r="D29" s="46" t="s">
        <v>774</v>
      </c>
      <c r="E29" s="44"/>
    </row>
    <row r="30" spans="1:5">
      <c r="A30" s="30">
        <f t="shared" si="1"/>
        <v>42</v>
      </c>
      <c r="B30" s="42">
        <v>1</v>
      </c>
      <c r="C30" s="47" t="s">
        <v>777</v>
      </c>
      <c r="D30" s="46" t="s">
        <v>774</v>
      </c>
      <c r="E30" s="44"/>
    </row>
    <row r="31" spans="1:5">
      <c r="A31" s="30">
        <f t="shared" si="1"/>
        <v>43</v>
      </c>
      <c r="B31" s="42">
        <v>1</v>
      </c>
      <c r="C31" s="47" t="s">
        <v>781</v>
      </c>
      <c r="D31" s="46" t="s">
        <v>774</v>
      </c>
      <c r="E31" s="44"/>
    </row>
    <row r="32" spans="1:5">
      <c r="A32" s="30">
        <f t="shared" si="1"/>
        <v>44</v>
      </c>
      <c r="B32" s="42">
        <v>1</v>
      </c>
      <c r="C32" s="40" t="s">
        <v>493</v>
      </c>
      <c r="D32" s="46" t="s">
        <v>774</v>
      </c>
      <c r="E32" s="44"/>
    </row>
    <row r="33" spans="1:5">
      <c r="A33" s="30">
        <f t="shared" si="1"/>
        <v>45</v>
      </c>
      <c r="B33" s="42">
        <v>1</v>
      </c>
      <c r="C33" s="50" t="s">
        <v>782</v>
      </c>
      <c r="D33" s="46" t="s">
        <v>774</v>
      </c>
      <c r="E33" s="44"/>
    </row>
    <row r="34" spans="1:5">
      <c r="A34" s="30">
        <f t="shared" si="1"/>
        <v>46</v>
      </c>
      <c r="B34" s="42">
        <v>1</v>
      </c>
      <c r="C34" s="50" t="s">
        <v>784</v>
      </c>
      <c r="D34" s="46" t="s">
        <v>774</v>
      </c>
      <c r="E34" s="44"/>
    </row>
    <row r="35" spans="1:5">
      <c r="A35" s="30">
        <f t="shared" si="1"/>
        <v>47</v>
      </c>
      <c r="B35" s="42">
        <v>1</v>
      </c>
      <c r="C35" s="50" t="s">
        <v>786</v>
      </c>
      <c r="D35" s="46" t="s">
        <v>774</v>
      </c>
      <c r="E35" s="44"/>
    </row>
    <row r="36" spans="1:5">
      <c r="A36" s="30">
        <f t="shared" si="1"/>
        <v>48</v>
      </c>
      <c r="B36" s="42">
        <v>1</v>
      </c>
      <c r="C36" s="50" t="s">
        <v>788</v>
      </c>
      <c r="D36" s="46" t="s">
        <v>774</v>
      </c>
      <c r="E36" s="44"/>
    </row>
    <row r="37" spans="1:5">
      <c r="A37" s="30">
        <f t="shared" si="1"/>
        <v>49</v>
      </c>
      <c r="B37" s="42">
        <v>1</v>
      </c>
      <c r="C37" s="50" t="s">
        <v>790</v>
      </c>
      <c r="D37" s="46" t="s">
        <v>774</v>
      </c>
      <c r="E37" s="44"/>
    </row>
    <row r="38" spans="1:5">
      <c r="A38" s="30">
        <f t="shared" si="1"/>
        <v>50</v>
      </c>
      <c r="B38" s="42">
        <v>1</v>
      </c>
      <c r="C38" s="50" t="s">
        <v>792</v>
      </c>
      <c r="D38" s="46" t="s">
        <v>774</v>
      </c>
      <c r="E38" s="44"/>
    </row>
    <row r="39" spans="1:5">
      <c r="A39" s="30">
        <f t="shared" si="1"/>
        <v>51</v>
      </c>
      <c r="B39" s="42">
        <v>1</v>
      </c>
      <c r="C39" s="50" t="s">
        <v>794</v>
      </c>
      <c r="D39" s="46" t="s">
        <v>774</v>
      </c>
      <c r="E39" s="44"/>
    </row>
    <row r="40" spans="1:5">
      <c r="A40" s="30">
        <f t="shared" si="1"/>
        <v>52</v>
      </c>
      <c r="B40" s="42">
        <v>2</v>
      </c>
      <c r="C40" s="50" t="s">
        <v>796</v>
      </c>
      <c r="D40" s="46" t="s">
        <v>774</v>
      </c>
      <c r="E40" s="44"/>
    </row>
    <row r="41" spans="1:5">
      <c r="A41" s="30">
        <f t="shared" si="1"/>
        <v>54</v>
      </c>
      <c r="B41" s="42">
        <v>16</v>
      </c>
      <c r="C41" s="51" t="s">
        <v>797</v>
      </c>
      <c r="D41" s="46" t="s">
        <v>774</v>
      </c>
      <c r="E41" s="44"/>
    </row>
    <row r="42" spans="1:5">
      <c r="A42" s="30">
        <f t="shared" si="1"/>
        <v>70</v>
      </c>
      <c r="B42" s="42"/>
      <c r="C42" s="584" t="s">
        <v>808</v>
      </c>
      <c r="D42" s="584"/>
      <c r="E42" s="44"/>
    </row>
    <row r="43" spans="1:5">
      <c r="A43" s="30">
        <f t="shared" si="1"/>
        <v>70</v>
      </c>
      <c r="B43" s="42">
        <v>1</v>
      </c>
      <c r="C43" s="45" t="s">
        <v>809</v>
      </c>
      <c r="D43" s="46" t="s">
        <v>774</v>
      </c>
      <c r="E43" s="44"/>
    </row>
    <row r="44" spans="1:5">
      <c r="A44" s="30">
        <f t="shared" si="1"/>
        <v>71</v>
      </c>
      <c r="B44" s="42">
        <v>2</v>
      </c>
      <c r="C44" s="47" t="s">
        <v>775</v>
      </c>
      <c r="D44" s="46" t="s">
        <v>774</v>
      </c>
      <c r="E44" s="44"/>
    </row>
    <row r="45" spans="1:5">
      <c r="A45" s="30">
        <f t="shared" si="1"/>
        <v>73</v>
      </c>
      <c r="B45" s="42">
        <v>1</v>
      </c>
      <c r="C45" s="47" t="s">
        <v>777</v>
      </c>
      <c r="D45" s="46" t="s">
        <v>774</v>
      </c>
      <c r="E45" s="44"/>
    </row>
    <row r="46" spans="1:5">
      <c r="A46" s="30">
        <f t="shared" si="1"/>
        <v>74</v>
      </c>
      <c r="B46" s="42">
        <v>1</v>
      </c>
      <c r="C46" s="47" t="s">
        <v>781</v>
      </c>
      <c r="D46" s="46" t="s">
        <v>774</v>
      </c>
      <c r="E46" s="44"/>
    </row>
    <row r="47" spans="1:5">
      <c r="A47" s="30">
        <f t="shared" si="1"/>
        <v>75</v>
      </c>
      <c r="B47" s="42">
        <v>1</v>
      </c>
      <c r="C47" s="40" t="s">
        <v>493</v>
      </c>
      <c r="D47" s="46" t="s">
        <v>774</v>
      </c>
      <c r="E47" s="44"/>
    </row>
    <row r="48" spans="1:5">
      <c r="A48" s="30">
        <f t="shared" si="1"/>
        <v>76</v>
      </c>
      <c r="B48" s="42">
        <v>1</v>
      </c>
      <c r="C48" s="50" t="s">
        <v>782</v>
      </c>
      <c r="D48" s="46" t="s">
        <v>774</v>
      </c>
      <c r="E48" s="44"/>
    </row>
    <row r="49" spans="1:5">
      <c r="A49" s="30">
        <f t="shared" si="1"/>
        <v>77</v>
      </c>
      <c r="B49" s="42">
        <v>1</v>
      </c>
      <c r="C49" s="50" t="s">
        <v>784</v>
      </c>
      <c r="D49" s="46" t="s">
        <v>774</v>
      </c>
      <c r="E49" s="44"/>
    </row>
    <row r="50" spans="1:5">
      <c r="A50" s="30">
        <f t="shared" si="1"/>
        <v>78</v>
      </c>
      <c r="B50" s="42">
        <v>1</v>
      </c>
      <c r="C50" s="50" t="s">
        <v>786</v>
      </c>
      <c r="D50" s="46" t="s">
        <v>774</v>
      </c>
      <c r="E50" s="44"/>
    </row>
    <row r="51" spans="1:5">
      <c r="A51" s="30">
        <f t="shared" si="1"/>
        <v>79</v>
      </c>
      <c r="B51" s="42">
        <v>1</v>
      </c>
      <c r="C51" s="50" t="s">
        <v>788</v>
      </c>
      <c r="D51" s="46" t="s">
        <v>774</v>
      </c>
      <c r="E51" s="44"/>
    </row>
    <row r="52" spans="1:5">
      <c r="A52" s="30">
        <f t="shared" si="1"/>
        <v>80</v>
      </c>
      <c r="B52" s="42">
        <v>1</v>
      </c>
      <c r="C52" s="50" t="s">
        <v>790</v>
      </c>
      <c r="D52" s="46" t="s">
        <v>774</v>
      </c>
      <c r="E52" s="44"/>
    </row>
    <row r="53" spans="1:5">
      <c r="A53" s="30">
        <f t="shared" si="1"/>
        <v>81</v>
      </c>
      <c r="B53" s="42">
        <v>1</v>
      </c>
      <c r="C53" s="50" t="s">
        <v>792</v>
      </c>
      <c r="D53" s="46" t="s">
        <v>774</v>
      </c>
      <c r="E53" s="44"/>
    </row>
    <row r="54" spans="1:5">
      <c r="A54" s="30">
        <f t="shared" si="1"/>
        <v>82</v>
      </c>
      <c r="B54" s="42">
        <v>1</v>
      </c>
      <c r="C54" s="50" t="s">
        <v>794</v>
      </c>
      <c r="D54" s="46" t="s">
        <v>774</v>
      </c>
      <c r="E54" s="44"/>
    </row>
    <row r="55" spans="1:5">
      <c r="A55" s="30">
        <f t="shared" si="1"/>
        <v>83</v>
      </c>
      <c r="B55" s="42">
        <v>2</v>
      </c>
      <c r="C55" s="50" t="s">
        <v>796</v>
      </c>
      <c r="D55" s="46" t="s">
        <v>774</v>
      </c>
      <c r="E55" s="44"/>
    </row>
    <row r="56" spans="1:5">
      <c r="A56" s="30">
        <f t="shared" si="1"/>
        <v>85</v>
      </c>
      <c r="B56" s="42">
        <v>16</v>
      </c>
      <c r="C56" s="51" t="s">
        <v>797</v>
      </c>
      <c r="D56" s="46" t="s">
        <v>774</v>
      </c>
      <c r="E56" s="44"/>
    </row>
    <row r="57" spans="1:5">
      <c r="A57" s="30">
        <f t="shared" si="1"/>
        <v>101</v>
      </c>
      <c r="B57" s="42"/>
      <c r="C57" s="584" t="s">
        <v>817</v>
      </c>
      <c r="D57" s="584"/>
      <c r="E57" s="44"/>
    </row>
    <row r="58" spans="1:5">
      <c r="A58" s="30">
        <f t="shared" si="1"/>
        <v>101</v>
      </c>
      <c r="B58" s="42">
        <v>2</v>
      </c>
      <c r="C58" s="45" t="s">
        <v>818</v>
      </c>
      <c r="D58" s="46" t="s">
        <v>819</v>
      </c>
      <c r="E58" s="44"/>
    </row>
    <row r="59" spans="1:5" ht="118.8">
      <c r="A59" s="30">
        <f t="shared" si="1"/>
        <v>103</v>
      </c>
      <c r="B59" s="42">
        <v>1</v>
      </c>
      <c r="C59" s="45" t="s">
        <v>820</v>
      </c>
      <c r="D59" s="46" t="s">
        <v>384</v>
      </c>
      <c r="E59" s="44"/>
    </row>
    <row r="60" spans="1:5" ht="277.2">
      <c r="A60" s="30">
        <f t="shared" si="1"/>
        <v>104</v>
      </c>
      <c r="B60" s="42">
        <v>1</v>
      </c>
      <c r="C60" s="42" t="s">
        <v>747</v>
      </c>
      <c r="D60" s="52" t="s">
        <v>1011</v>
      </c>
      <c r="E60" s="44"/>
    </row>
    <row r="61" spans="1:5" ht="52.8">
      <c r="A61" s="30">
        <f t="shared" si="1"/>
        <v>105</v>
      </c>
      <c r="B61" s="42">
        <v>16</v>
      </c>
      <c r="C61" s="51" t="s">
        <v>797</v>
      </c>
      <c r="D61" s="46" t="s">
        <v>906</v>
      </c>
      <c r="E61" s="44"/>
    </row>
    <row r="62" spans="1:5">
      <c r="A62" s="30">
        <f t="shared" si="1"/>
        <v>121</v>
      </c>
      <c r="B62" s="42">
        <v>20</v>
      </c>
      <c r="C62" s="45" t="s">
        <v>420</v>
      </c>
      <c r="D62" s="46" t="s">
        <v>822</v>
      </c>
      <c r="E62" s="44"/>
    </row>
    <row r="63" spans="1:5">
      <c r="A63" s="30">
        <f t="shared" si="1"/>
        <v>141</v>
      </c>
      <c r="B63" s="42">
        <v>20</v>
      </c>
      <c r="C63" s="45" t="s">
        <v>422</v>
      </c>
      <c r="D63" s="46" t="s">
        <v>823</v>
      </c>
      <c r="E63" s="44"/>
    </row>
    <row r="64" spans="1:5">
      <c r="A64" s="30">
        <f t="shared" si="1"/>
        <v>161</v>
      </c>
      <c r="B64" s="42">
        <v>20</v>
      </c>
      <c r="C64" s="45" t="s">
        <v>423</v>
      </c>
      <c r="D64" s="46" t="s">
        <v>824</v>
      </c>
      <c r="E64" s="44"/>
    </row>
    <row r="65" spans="1:5">
      <c r="A65" s="30">
        <f t="shared" si="1"/>
        <v>181</v>
      </c>
      <c r="B65" s="42">
        <v>20</v>
      </c>
      <c r="C65" s="45" t="s">
        <v>424</v>
      </c>
      <c r="D65" s="46" t="s">
        <v>825</v>
      </c>
      <c r="E65" s="44"/>
    </row>
    <row r="66" spans="1:5">
      <c r="A66" s="30">
        <f t="shared" si="1"/>
        <v>201</v>
      </c>
      <c r="B66" s="42">
        <v>20</v>
      </c>
      <c r="C66" s="45" t="s">
        <v>425</v>
      </c>
      <c r="D66" s="46" t="s">
        <v>826</v>
      </c>
      <c r="E66" s="44"/>
    </row>
    <row r="67" spans="1:5">
      <c r="A67" s="30">
        <f t="shared" si="1"/>
        <v>221</v>
      </c>
      <c r="B67" s="42">
        <v>20</v>
      </c>
      <c r="C67" s="45" t="s">
        <v>426</v>
      </c>
      <c r="D67" s="46" t="s">
        <v>774</v>
      </c>
      <c r="E67" s="44"/>
    </row>
    <row r="68" spans="1:5">
      <c r="A68" s="30">
        <f t="shared" si="1"/>
        <v>241</v>
      </c>
      <c r="B68" s="42">
        <v>20</v>
      </c>
      <c r="C68" s="45" t="s">
        <v>427</v>
      </c>
      <c r="D68" s="46" t="s">
        <v>774</v>
      </c>
      <c r="E68" s="44"/>
    </row>
    <row r="69" spans="1:5">
      <c r="A69" s="30">
        <f t="shared" si="1"/>
        <v>261</v>
      </c>
      <c r="B69" s="42">
        <v>20</v>
      </c>
      <c r="C69" s="45" t="s">
        <v>428</v>
      </c>
      <c r="D69" s="46" t="s">
        <v>774</v>
      </c>
      <c r="E69" s="44"/>
    </row>
    <row r="70" spans="1:5">
      <c r="A70" s="30">
        <f t="shared" si="1"/>
        <v>281</v>
      </c>
      <c r="B70" s="42">
        <v>20</v>
      </c>
      <c r="C70" s="45" t="s">
        <v>429</v>
      </c>
      <c r="D70" s="46" t="s">
        <v>774</v>
      </c>
      <c r="E70" s="44"/>
    </row>
    <row r="71" spans="1:5">
      <c r="A71" s="30">
        <f t="shared" si="1"/>
        <v>301</v>
      </c>
      <c r="B71" s="42">
        <v>20</v>
      </c>
      <c r="C71" s="45" t="s">
        <v>430</v>
      </c>
      <c r="D71" s="46" t="s">
        <v>774</v>
      </c>
      <c r="E71" s="44"/>
    </row>
    <row r="72" spans="1:5">
      <c r="A72" s="30">
        <f t="shared" si="1"/>
        <v>321</v>
      </c>
      <c r="B72" s="42">
        <v>20</v>
      </c>
      <c r="C72" s="45" t="s">
        <v>431</v>
      </c>
      <c r="D72" s="46" t="s">
        <v>774</v>
      </c>
      <c r="E72" s="44"/>
    </row>
    <row r="73" spans="1:5">
      <c r="A73" s="30">
        <f t="shared" si="1"/>
        <v>341</v>
      </c>
      <c r="B73" s="42">
        <v>20</v>
      </c>
      <c r="C73" s="45" t="s">
        <v>432</v>
      </c>
      <c r="D73" s="46" t="s">
        <v>774</v>
      </c>
      <c r="E73" s="44"/>
    </row>
    <row r="74" spans="1:5">
      <c r="A74" s="30">
        <f t="shared" si="1"/>
        <v>361</v>
      </c>
      <c r="B74" s="42">
        <v>20</v>
      </c>
      <c r="C74" s="45" t="s">
        <v>433</v>
      </c>
      <c r="D74" s="46" t="s">
        <v>774</v>
      </c>
      <c r="E74" s="44"/>
    </row>
    <row r="75" spans="1:5">
      <c r="A75" s="30">
        <f t="shared" ref="A75:A126" si="2">A74+B74</f>
        <v>381</v>
      </c>
      <c r="B75" s="42">
        <v>20</v>
      </c>
      <c r="C75" s="45" t="s">
        <v>434</v>
      </c>
      <c r="D75" s="46" t="s">
        <v>774</v>
      </c>
      <c r="E75" s="44"/>
    </row>
    <row r="76" spans="1:5">
      <c r="A76" s="30">
        <f t="shared" si="2"/>
        <v>401</v>
      </c>
      <c r="B76" s="42">
        <v>20</v>
      </c>
      <c r="C76" s="45" t="s">
        <v>435</v>
      </c>
      <c r="D76" s="46" t="s">
        <v>774</v>
      </c>
      <c r="E76" s="44"/>
    </row>
    <row r="77" spans="1:5">
      <c r="A77" s="30">
        <f t="shared" si="2"/>
        <v>421</v>
      </c>
      <c r="B77" s="42">
        <v>20</v>
      </c>
      <c r="C77" s="45" t="s">
        <v>436</v>
      </c>
      <c r="D77" s="46" t="s">
        <v>774</v>
      </c>
      <c r="E77" s="44"/>
    </row>
    <row r="78" spans="1:5">
      <c r="A78" s="30">
        <f t="shared" si="2"/>
        <v>441</v>
      </c>
      <c r="B78" s="42">
        <v>20</v>
      </c>
      <c r="C78" s="45" t="s">
        <v>437</v>
      </c>
      <c r="D78" s="46" t="s">
        <v>774</v>
      </c>
      <c r="E78" s="44"/>
    </row>
    <row r="79" spans="1:5">
      <c r="A79" s="30">
        <f t="shared" si="2"/>
        <v>461</v>
      </c>
      <c r="B79" s="42">
        <v>20</v>
      </c>
      <c r="C79" s="45" t="s">
        <v>438</v>
      </c>
      <c r="D79" s="46" t="s">
        <v>774</v>
      </c>
      <c r="E79" s="44"/>
    </row>
    <row r="80" spans="1:5">
      <c r="A80" s="30">
        <f t="shared" si="2"/>
        <v>481</v>
      </c>
      <c r="B80" s="42">
        <v>20</v>
      </c>
      <c r="C80" s="45" t="s">
        <v>439</v>
      </c>
      <c r="D80" s="46" t="s">
        <v>774</v>
      </c>
      <c r="E80" s="44"/>
    </row>
    <row r="81" spans="1:5">
      <c r="A81" s="30">
        <f t="shared" si="2"/>
        <v>501</v>
      </c>
      <c r="B81" s="42">
        <v>20</v>
      </c>
      <c r="C81" s="45" t="s">
        <v>440</v>
      </c>
      <c r="D81" s="46" t="s">
        <v>774</v>
      </c>
      <c r="E81" s="44"/>
    </row>
    <row r="82" spans="1:5">
      <c r="A82" s="30">
        <f t="shared" si="2"/>
        <v>521</v>
      </c>
      <c r="B82" s="42">
        <v>20</v>
      </c>
      <c r="C82" s="45" t="s">
        <v>441</v>
      </c>
      <c r="D82" s="46" t="s">
        <v>774</v>
      </c>
      <c r="E82" s="44"/>
    </row>
    <row r="83" spans="1:5">
      <c r="A83" s="30">
        <f t="shared" si="2"/>
        <v>541</v>
      </c>
      <c r="B83" s="42">
        <v>20</v>
      </c>
      <c r="C83" s="45" t="s">
        <v>442</v>
      </c>
      <c r="D83" s="46" t="s">
        <v>774</v>
      </c>
      <c r="E83" s="44"/>
    </row>
    <row r="84" spans="1:5">
      <c r="A84" s="30">
        <f t="shared" si="2"/>
        <v>561</v>
      </c>
      <c r="B84" s="42">
        <v>20</v>
      </c>
      <c r="C84" s="45" t="s">
        <v>443</v>
      </c>
      <c r="D84" s="46" t="s">
        <v>774</v>
      </c>
      <c r="E84" s="44"/>
    </row>
    <row r="85" spans="1:5">
      <c r="A85" s="30">
        <f t="shared" si="2"/>
        <v>581</v>
      </c>
      <c r="B85" s="42">
        <v>20</v>
      </c>
      <c r="C85" s="45" t="s">
        <v>444</v>
      </c>
      <c r="D85" s="46" t="s">
        <v>774</v>
      </c>
      <c r="E85" s="44"/>
    </row>
    <row r="86" spans="1:5">
      <c r="A86" s="30">
        <f t="shared" si="2"/>
        <v>601</v>
      </c>
      <c r="B86" s="42">
        <v>20</v>
      </c>
      <c r="C86" s="45" t="s">
        <v>445</v>
      </c>
      <c r="D86" s="46" t="s">
        <v>774</v>
      </c>
      <c r="E86" s="44"/>
    </row>
    <row r="87" spans="1:5">
      <c r="A87" s="30">
        <f t="shared" si="2"/>
        <v>621</v>
      </c>
      <c r="B87" s="42">
        <v>20</v>
      </c>
      <c r="C87" s="45" t="s">
        <v>446</v>
      </c>
      <c r="D87" s="46" t="s">
        <v>774</v>
      </c>
      <c r="E87" s="44"/>
    </row>
    <row r="88" spans="1:5">
      <c r="A88" s="30">
        <f t="shared" si="2"/>
        <v>641</v>
      </c>
      <c r="B88" s="42">
        <v>20</v>
      </c>
      <c r="C88" s="45" t="s">
        <v>447</v>
      </c>
      <c r="D88" s="46" t="s">
        <v>774</v>
      </c>
      <c r="E88" s="44"/>
    </row>
    <row r="89" spans="1:5">
      <c r="A89" s="30">
        <f t="shared" si="2"/>
        <v>661</v>
      </c>
      <c r="B89" s="42">
        <v>20</v>
      </c>
      <c r="C89" s="45" t="s">
        <v>448</v>
      </c>
      <c r="D89" s="46" t="s">
        <v>774</v>
      </c>
      <c r="E89" s="44"/>
    </row>
    <row r="90" spans="1:5">
      <c r="A90" s="30">
        <f t="shared" si="2"/>
        <v>681</v>
      </c>
      <c r="B90" s="42">
        <v>20</v>
      </c>
      <c r="C90" s="45" t="s">
        <v>449</v>
      </c>
      <c r="D90" s="46" t="s">
        <v>774</v>
      </c>
      <c r="E90" s="44"/>
    </row>
    <row r="91" spans="1:5">
      <c r="A91" s="30">
        <f t="shared" si="2"/>
        <v>701</v>
      </c>
      <c r="B91" s="42">
        <v>20</v>
      </c>
      <c r="C91" s="45" t="s">
        <v>450</v>
      </c>
      <c r="D91" s="46" t="s">
        <v>774</v>
      </c>
      <c r="E91" s="44"/>
    </row>
    <row r="92" spans="1:5">
      <c r="A92" s="30">
        <f t="shared" si="2"/>
        <v>721</v>
      </c>
      <c r="B92" s="42">
        <v>20</v>
      </c>
      <c r="C92" s="45" t="s">
        <v>451</v>
      </c>
      <c r="D92" s="46" t="s">
        <v>774</v>
      </c>
      <c r="E92" s="44"/>
    </row>
    <row r="93" spans="1:5">
      <c r="A93" s="30">
        <f t="shared" si="2"/>
        <v>741</v>
      </c>
      <c r="B93" s="42">
        <v>20</v>
      </c>
      <c r="C93" s="45" t="s">
        <v>452</v>
      </c>
      <c r="D93" s="46" t="s">
        <v>774</v>
      </c>
      <c r="E93" s="44"/>
    </row>
    <row r="94" spans="1:5">
      <c r="A94" s="30">
        <f t="shared" si="2"/>
        <v>761</v>
      </c>
      <c r="B94" s="42">
        <v>20</v>
      </c>
      <c r="C94" s="45" t="s">
        <v>453</v>
      </c>
      <c r="D94" s="46" t="s">
        <v>774</v>
      </c>
      <c r="E94" s="44"/>
    </row>
    <row r="95" spans="1:5">
      <c r="A95" s="30">
        <f t="shared" si="2"/>
        <v>781</v>
      </c>
      <c r="B95" s="42">
        <v>20</v>
      </c>
      <c r="C95" s="45" t="s">
        <v>454</v>
      </c>
      <c r="D95" s="46" t="s">
        <v>774</v>
      </c>
      <c r="E95" s="44"/>
    </row>
    <row r="96" spans="1:5">
      <c r="A96" s="30">
        <f t="shared" si="2"/>
        <v>801</v>
      </c>
      <c r="B96" s="42">
        <v>20</v>
      </c>
      <c r="C96" s="45" t="s">
        <v>455</v>
      </c>
      <c r="D96" s="46" t="s">
        <v>774</v>
      </c>
      <c r="E96" s="44"/>
    </row>
    <row r="97" spans="1:5">
      <c r="A97" s="30">
        <f t="shared" si="2"/>
        <v>821</v>
      </c>
      <c r="B97" s="42">
        <v>20</v>
      </c>
      <c r="C97" s="45" t="s">
        <v>456</v>
      </c>
      <c r="D97" s="46" t="s">
        <v>774</v>
      </c>
      <c r="E97" s="44"/>
    </row>
    <row r="98" spans="1:5">
      <c r="A98" s="30">
        <f t="shared" si="2"/>
        <v>841</v>
      </c>
      <c r="B98" s="42">
        <v>20</v>
      </c>
      <c r="C98" s="45" t="s">
        <v>457</v>
      </c>
      <c r="D98" s="46" t="s">
        <v>774</v>
      </c>
      <c r="E98" s="44"/>
    </row>
    <row r="99" spans="1:5">
      <c r="A99" s="30">
        <f t="shared" si="2"/>
        <v>861</v>
      </c>
      <c r="B99" s="42">
        <v>20</v>
      </c>
      <c r="C99" s="45" t="s">
        <v>458</v>
      </c>
      <c r="D99" s="46" t="s">
        <v>774</v>
      </c>
      <c r="E99" s="44"/>
    </row>
    <row r="100" spans="1:5">
      <c r="A100" s="30">
        <f t="shared" si="2"/>
        <v>881</v>
      </c>
      <c r="B100" s="42">
        <v>20</v>
      </c>
      <c r="C100" s="45" t="s">
        <v>459</v>
      </c>
      <c r="D100" s="46" t="s">
        <v>774</v>
      </c>
      <c r="E100" s="44"/>
    </row>
    <row r="101" spans="1:5">
      <c r="A101" s="30">
        <f t="shared" si="2"/>
        <v>901</v>
      </c>
      <c r="B101" s="42">
        <v>20</v>
      </c>
      <c r="C101" s="45" t="s">
        <v>460</v>
      </c>
      <c r="D101" s="46" t="s">
        <v>774</v>
      </c>
      <c r="E101" s="44"/>
    </row>
    <row r="102" spans="1:5">
      <c r="A102" s="30">
        <f t="shared" si="2"/>
        <v>921</v>
      </c>
      <c r="B102" s="42">
        <v>20</v>
      </c>
      <c r="C102" s="45" t="s">
        <v>461</v>
      </c>
      <c r="D102" s="46" t="s">
        <v>774</v>
      </c>
      <c r="E102" s="44"/>
    </row>
    <row r="103" spans="1:5">
      <c r="A103" s="30">
        <f t="shared" si="2"/>
        <v>941</v>
      </c>
      <c r="B103" s="42">
        <v>20</v>
      </c>
      <c r="C103" s="45" t="s">
        <v>462</v>
      </c>
      <c r="D103" s="46" t="s">
        <v>774</v>
      </c>
      <c r="E103" s="44"/>
    </row>
    <row r="104" spans="1:5">
      <c r="A104" s="30">
        <f t="shared" si="2"/>
        <v>961</v>
      </c>
      <c r="B104" s="42">
        <v>20</v>
      </c>
      <c r="C104" s="45" t="s">
        <v>463</v>
      </c>
      <c r="D104" s="46" t="s">
        <v>774</v>
      </c>
      <c r="E104" s="44"/>
    </row>
    <row r="105" spans="1:5">
      <c r="A105" s="30">
        <f t="shared" si="2"/>
        <v>981</v>
      </c>
      <c r="B105" s="42">
        <v>20</v>
      </c>
      <c r="C105" s="45" t="s">
        <v>464</v>
      </c>
      <c r="D105" s="46" t="s">
        <v>774</v>
      </c>
      <c r="E105" s="44"/>
    </row>
    <row r="106" spans="1:5">
      <c r="A106" s="30">
        <f t="shared" si="2"/>
        <v>1001</v>
      </c>
      <c r="B106" s="42">
        <v>20</v>
      </c>
      <c r="C106" s="45" t="s">
        <v>465</v>
      </c>
      <c r="D106" s="46" t="s">
        <v>774</v>
      </c>
      <c r="E106" s="44"/>
    </row>
    <row r="107" spans="1:5">
      <c r="A107" s="30">
        <f t="shared" si="2"/>
        <v>1021</v>
      </c>
      <c r="B107" s="42">
        <v>20</v>
      </c>
      <c r="C107" s="45" t="s">
        <v>466</v>
      </c>
      <c r="D107" s="46" t="s">
        <v>774</v>
      </c>
      <c r="E107" s="44"/>
    </row>
    <row r="108" spans="1:5">
      <c r="A108" s="30">
        <f t="shared" si="2"/>
        <v>1041</v>
      </c>
      <c r="B108" s="42">
        <v>20</v>
      </c>
      <c r="C108" s="45" t="s">
        <v>467</v>
      </c>
      <c r="D108" s="46" t="s">
        <v>774</v>
      </c>
      <c r="E108" s="44"/>
    </row>
    <row r="109" spans="1:5">
      <c r="A109" s="30">
        <f t="shared" si="2"/>
        <v>1061</v>
      </c>
      <c r="B109" s="42">
        <v>20</v>
      </c>
      <c r="C109" s="45" t="s">
        <v>468</v>
      </c>
      <c r="D109" s="46" t="s">
        <v>774</v>
      </c>
      <c r="E109" s="44"/>
    </row>
    <row r="110" spans="1:5">
      <c r="A110" s="30">
        <f t="shared" si="2"/>
        <v>1081</v>
      </c>
      <c r="B110" s="42">
        <v>20</v>
      </c>
      <c r="C110" s="45" t="s">
        <v>469</v>
      </c>
      <c r="D110" s="46" t="s">
        <v>774</v>
      </c>
      <c r="E110" s="44"/>
    </row>
    <row r="111" spans="1:5">
      <c r="A111" s="30">
        <f t="shared" si="2"/>
        <v>1101</v>
      </c>
      <c r="B111" s="42">
        <v>20</v>
      </c>
      <c r="C111" s="45" t="s">
        <v>470</v>
      </c>
      <c r="D111" s="46" t="s">
        <v>774</v>
      </c>
      <c r="E111" s="44"/>
    </row>
    <row r="112" spans="1:5">
      <c r="A112" s="30">
        <f t="shared" si="2"/>
        <v>1121</v>
      </c>
      <c r="B112" s="42">
        <v>20</v>
      </c>
      <c r="C112" s="45" t="s">
        <v>471</v>
      </c>
      <c r="D112" s="46" t="s">
        <v>774</v>
      </c>
      <c r="E112" s="44"/>
    </row>
    <row r="113" spans="1:5">
      <c r="A113" s="30">
        <f t="shared" si="2"/>
        <v>1141</v>
      </c>
      <c r="B113" s="42">
        <v>20</v>
      </c>
      <c r="C113" s="45" t="s">
        <v>472</v>
      </c>
      <c r="D113" s="46" t="s">
        <v>774</v>
      </c>
      <c r="E113" s="44"/>
    </row>
    <row r="114" spans="1:5">
      <c r="A114" s="30">
        <f t="shared" si="2"/>
        <v>1161</v>
      </c>
      <c r="B114" s="42">
        <v>20</v>
      </c>
      <c r="C114" s="45" t="s">
        <v>473</v>
      </c>
      <c r="D114" s="46" t="s">
        <v>774</v>
      </c>
      <c r="E114" s="44"/>
    </row>
    <row r="115" spans="1:5">
      <c r="A115" s="30">
        <f t="shared" si="2"/>
        <v>1181</v>
      </c>
      <c r="B115" s="42">
        <v>20</v>
      </c>
      <c r="C115" s="45" t="s">
        <v>474</v>
      </c>
      <c r="D115" s="46" t="s">
        <v>774</v>
      </c>
      <c r="E115" s="44"/>
    </row>
    <row r="116" spans="1:5">
      <c r="A116" s="30">
        <f t="shared" si="2"/>
        <v>1201</v>
      </c>
      <c r="B116" s="42">
        <v>20</v>
      </c>
      <c r="C116" s="45" t="s">
        <v>475</v>
      </c>
      <c r="D116" s="46" t="s">
        <v>774</v>
      </c>
      <c r="E116" s="44"/>
    </row>
    <row r="117" spans="1:5">
      <c r="A117" s="30">
        <f t="shared" si="2"/>
        <v>1221</v>
      </c>
      <c r="B117" s="42">
        <v>20</v>
      </c>
      <c r="C117" s="45" t="s">
        <v>476</v>
      </c>
      <c r="D117" s="46" t="s">
        <v>774</v>
      </c>
      <c r="E117" s="44"/>
    </row>
    <row r="118" spans="1:5">
      <c r="A118" s="30">
        <f t="shared" si="2"/>
        <v>1241</v>
      </c>
      <c r="B118" s="42">
        <v>20</v>
      </c>
      <c r="C118" s="45" t="s">
        <v>477</v>
      </c>
      <c r="D118" s="46" t="s">
        <v>774</v>
      </c>
      <c r="E118" s="44"/>
    </row>
    <row r="119" spans="1:5">
      <c r="A119" s="30">
        <f t="shared" si="2"/>
        <v>1261</v>
      </c>
      <c r="B119" s="42">
        <v>20</v>
      </c>
      <c r="C119" s="45" t="s">
        <v>478</v>
      </c>
      <c r="D119" s="46" t="s">
        <v>774</v>
      </c>
      <c r="E119" s="44"/>
    </row>
    <row r="120" spans="1:5">
      <c r="A120" s="30">
        <f t="shared" si="2"/>
        <v>1281</v>
      </c>
      <c r="B120" s="42">
        <v>20</v>
      </c>
      <c r="C120" s="45" t="s">
        <v>479</v>
      </c>
      <c r="D120" s="46" t="s">
        <v>774</v>
      </c>
      <c r="E120" s="44"/>
    </row>
    <row r="121" spans="1:5">
      <c r="A121" s="30">
        <f t="shared" si="2"/>
        <v>1301</v>
      </c>
      <c r="B121" s="42">
        <v>20</v>
      </c>
      <c r="C121" s="45" t="s">
        <v>480</v>
      </c>
      <c r="D121" s="46" t="s">
        <v>774</v>
      </c>
      <c r="E121" s="44"/>
    </row>
    <row r="122" spans="1:5">
      <c r="A122" s="30">
        <f t="shared" si="2"/>
        <v>1321</v>
      </c>
      <c r="B122" s="42">
        <v>20</v>
      </c>
      <c r="C122" s="45" t="s">
        <v>481</v>
      </c>
      <c r="D122" s="46" t="s">
        <v>774</v>
      </c>
      <c r="E122" s="44"/>
    </row>
    <row r="123" spans="1:5" ht="22.8">
      <c r="A123" s="30">
        <f t="shared" si="2"/>
        <v>1341</v>
      </c>
      <c r="B123" s="30">
        <v>2</v>
      </c>
      <c r="C123" s="30" t="s">
        <v>127</v>
      </c>
      <c r="D123" s="32" t="s">
        <v>128</v>
      </c>
    </row>
    <row r="124" spans="1:5" ht="22.8">
      <c r="A124" s="30">
        <f t="shared" si="2"/>
        <v>1343</v>
      </c>
      <c r="B124" s="30">
        <v>4</v>
      </c>
      <c r="C124" s="30" t="s">
        <v>129</v>
      </c>
      <c r="D124" s="32" t="s">
        <v>130</v>
      </c>
    </row>
    <row r="125" spans="1:5">
      <c r="A125" s="30">
        <f t="shared" si="2"/>
        <v>1347</v>
      </c>
      <c r="B125" s="30">
        <v>1</v>
      </c>
      <c r="C125" s="30" t="s">
        <v>131</v>
      </c>
      <c r="D125" s="32" t="s">
        <v>132</v>
      </c>
    </row>
    <row r="126" spans="1:5">
      <c r="A126" s="30">
        <f t="shared" si="2"/>
        <v>1348</v>
      </c>
      <c r="B126" s="53" t="s">
        <v>486</v>
      </c>
    </row>
    <row r="130" spans="1:5" ht="15">
      <c r="A130" s="585" t="s">
        <v>907</v>
      </c>
      <c r="B130" s="586"/>
      <c r="C130" s="586"/>
      <c r="D130" s="586"/>
      <c r="E130" s="587"/>
    </row>
    <row r="131" spans="1:5">
      <c r="C131" s="54"/>
    </row>
    <row r="132" spans="1:5" ht="15">
      <c r="A132" s="585" t="s">
        <v>908</v>
      </c>
      <c r="B132" s="586"/>
      <c r="C132" s="586"/>
      <c r="D132" s="586"/>
      <c r="E132" s="587"/>
    </row>
    <row r="133" spans="1:5" ht="15">
      <c r="A133" s="35"/>
      <c r="B133" s="34"/>
      <c r="C133" s="54"/>
      <c r="D133" s="36"/>
    </row>
    <row r="134" spans="1:5" ht="30">
      <c r="A134" s="37" t="s">
        <v>110</v>
      </c>
      <c r="B134" s="37" t="s">
        <v>111</v>
      </c>
      <c r="C134" s="38" t="s">
        <v>112</v>
      </c>
      <c r="D134" s="39" t="s">
        <v>113</v>
      </c>
      <c r="E134" s="34"/>
    </row>
    <row r="135" spans="1:5">
      <c r="A135" s="30">
        <v>0</v>
      </c>
      <c r="B135" s="30">
        <v>1</v>
      </c>
      <c r="C135" s="54" t="s">
        <v>114</v>
      </c>
      <c r="D135" s="32" t="s">
        <v>115</v>
      </c>
    </row>
    <row r="136" spans="1:5">
      <c r="A136" s="30">
        <f t="shared" ref="A136:A144" si="3">A135+B135</f>
        <v>1</v>
      </c>
      <c r="B136" s="30">
        <v>1</v>
      </c>
      <c r="C136" s="54" t="s">
        <v>770</v>
      </c>
      <c r="D136" s="32" t="s">
        <v>909</v>
      </c>
    </row>
    <row r="137" spans="1:5" ht="26.4">
      <c r="A137" s="30">
        <f t="shared" si="3"/>
        <v>2</v>
      </c>
      <c r="B137" s="30">
        <v>1</v>
      </c>
      <c r="C137" s="54" t="s">
        <v>910</v>
      </c>
      <c r="D137" s="46" t="s">
        <v>911</v>
      </c>
    </row>
    <row r="138" spans="1:5">
      <c r="A138" s="30">
        <f t="shared" si="3"/>
        <v>3</v>
      </c>
      <c r="B138" s="30">
        <v>2</v>
      </c>
      <c r="C138" s="55" t="s">
        <v>912</v>
      </c>
      <c r="D138" s="56" t="s">
        <v>141</v>
      </c>
      <c r="E138" s="41"/>
    </row>
    <row r="139" spans="1:5">
      <c r="A139" s="30">
        <f t="shared" si="3"/>
        <v>5</v>
      </c>
      <c r="B139" s="42">
        <v>2</v>
      </c>
      <c r="C139" s="42" t="s">
        <v>121</v>
      </c>
      <c r="D139" s="43" t="s">
        <v>766</v>
      </c>
      <c r="E139" s="44"/>
    </row>
    <row r="140" spans="1:5" ht="39.6">
      <c r="A140" s="30">
        <f t="shared" si="3"/>
        <v>7</v>
      </c>
      <c r="B140" s="42">
        <v>3</v>
      </c>
      <c r="C140" s="40" t="s">
        <v>120</v>
      </c>
      <c r="D140" s="32" t="str">
        <f>DEC2HEX(A144-5)</f>
        <v>C</v>
      </c>
      <c r="E140" s="44"/>
    </row>
    <row r="141" spans="1:5" ht="22.8">
      <c r="A141" s="30">
        <f t="shared" si="3"/>
        <v>10</v>
      </c>
      <c r="B141" s="30">
        <v>2</v>
      </c>
      <c r="C141" s="30" t="s">
        <v>127</v>
      </c>
      <c r="D141" s="32" t="s">
        <v>128</v>
      </c>
    </row>
    <row r="142" spans="1:5" ht="22.8">
      <c r="A142" s="30">
        <f t="shared" si="3"/>
        <v>12</v>
      </c>
      <c r="B142" s="30">
        <v>4</v>
      </c>
      <c r="C142" s="30" t="s">
        <v>129</v>
      </c>
      <c r="D142" s="32" t="s">
        <v>130</v>
      </c>
    </row>
    <row r="143" spans="1:5">
      <c r="A143" s="30">
        <f t="shared" si="3"/>
        <v>16</v>
      </c>
      <c r="B143" s="30">
        <v>1</v>
      </c>
      <c r="C143" s="30" t="s">
        <v>131</v>
      </c>
      <c r="D143" s="32" t="s">
        <v>132</v>
      </c>
    </row>
    <row r="144" spans="1:5">
      <c r="A144" s="30">
        <f t="shared" si="3"/>
        <v>17</v>
      </c>
      <c r="B144" s="53" t="s">
        <v>486</v>
      </c>
      <c r="C144" s="54"/>
    </row>
  </sheetData>
  <mergeCells count="8">
    <mergeCell ref="C57:D57"/>
    <mergeCell ref="A130:E130"/>
    <mergeCell ref="A132:E132"/>
    <mergeCell ref="A2:E2"/>
    <mergeCell ref="A4:E4"/>
    <mergeCell ref="C12:D12"/>
    <mergeCell ref="C27:D27"/>
    <mergeCell ref="C42:D42"/>
  </mergeCells>
  <pageMargins left="0.69861111111111096" right="0.69861111111111096" top="0.75" bottom="0.75" header="0.3" footer="0.3"/>
  <headerFooter scaleWithDoc="0"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3:I718"/>
  <sheetViews>
    <sheetView topLeftCell="C4" workbookViewId="0">
      <selection activeCell="D54" sqref="D54"/>
    </sheetView>
  </sheetViews>
  <sheetFormatPr defaultColWidth="26.109375" defaultRowHeight="13.2"/>
  <cols>
    <col min="1" max="1" width="26.109375" style="23" customWidth="1"/>
    <col min="2" max="2" width="129.21875" style="24" customWidth="1"/>
    <col min="3" max="3" width="26.109375" style="23" customWidth="1"/>
    <col min="4" max="16384" width="26.109375" style="23"/>
  </cols>
  <sheetData>
    <row r="3" spans="1:9" ht="12.75" customHeight="1">
      <c r="A3" s="589" t="s">
        <v>1499</v>
      </c>
      <c r="B3" s="589"/>
      <c r="C3" s="589"/>
      <c r="D3" s="589"/>
    </row>
    <row r="4" spans="1:9">
      <c r="A4" s="589"/>
      <c r="B4" s="589"/>
      <c r="C4" s="589"/>
      <c r="D4" s="589"/>
      <c r="E4" s="26"/>
      <c r="F4" s="26"/>
      <c r="G4" s="26"/>
      <c r="H4" s="24"/>
      <c r="I4" s="24"/>
    </row>
    <row r="5" spans="1:9">
      <c r="A5" s="589"/>
      <c r="B5" s="589"/>
      <c r="C5" s="589"/>
      <c r="D5" s="589"/>
      <c r="E5" s="27"/>
      <c r="F5" s="27"/>
      <c r="G5" s="27"/>
      <c r="H5" s="24"/>
      <c r="I5" s="24"/>
    </row>
    <row r="6" spans="1:9">
      <c r="A6" s="589"/>
      <c r="B6" s="589"/>
      <c r="C6" s="589"/>
      <c r="D6" s="589"/>
      <c r="G6" s="24"/>
      <c r="H6" s="24"/>
      <c r="I6" s="24"/>
    </row>
    <row r="7" spans="1:9">
      <c r="A7" s="589"/>
      <c r="B7" s="589"/>
      <c r="C7" s="589"/>
      <c r="D7" s="589"/>
      <c r="G7" s="24"/>
      <c r="H7" s="24"/>
      <c r="I7" s="24"/>
    </row>
    <row r="8" spans="1:9">
      <c r="A8" s="589"/>
      <c r="B8" s="589"/>
      <c r="C8" s="589"/>
      <c r="D8" s="589"/>
      <c r="F8" s="24"/>
      <c r="G8" s="24"/>
      <c r="H8" s="24"/>
      <c r="I8" s="24"/>
    </row>
    <row r="9" spans="1:9" ht="138" customHeight="1">
      <c r="A9" s="589"/>
      <c r="B9" s="589"/>
      <c r="C9" s="589"/>
      <c r="D9" s="589"/>
      <c r="F9" s="24"/>
      <c r="G9" s="24"/>
      <c r="H9" s="24"/>
      <c r="I9" s="24"/>
    </row>
    <row r="10" spans="1:9">
      <c r="D10" s="24"/>
      <c r="F10" s="24"/>
      <c r="G10" s="24"/>
      <c r="H10" s="24"/>
      <c r="I10" s="24"/>
    </row>
    <row r="11" spans="1:9">
      <c r="D11" s="24"/>
      <c r="F11" s="24"/>
      <c r="G11" s="24"/>
      <c r="H11" s="24"/>
      <c r="I11" s="24"/>
    </row>
    <row r="12" spans="1:9">
      <c r="A12" s="23" t="s">
        <v>1500</v>
      </c>
      <c r="B12" s="24" t="s">
        <v>1501</v>
      </c>
      <c r="C12" s="23" t="s">
        <v>1502</v>
      </c>
      <c r="D12" s="24"/>
      <c r="F12" s="24"/>
      <c r="G12" s="24"/>
      <c r="H12" s="24"/>
      <c r="I12" s="24"/>
    </row>
    <row r="13" spans="1:9">
      <c r="A13" s="23" t="s">
        <v>1503</v>
      </c>
      <c r="B13" s="24" t="s">
        <v>1504</v>
      </c>
      <c r="C13" s="23" t="s">
        <v>1505</v>
      </c>
      <c r="D13" s="24"/>
      <c r="F13" s="24"/>
      <c r="G13" s="24"/>
      <c r="H13" s="24"/>
      <c r="I13" s="24"/>
    </row>
    <row r="14" spans="1:9">
      <c r="A14" s="23" t="s">
        <v>1506</v>
      </c>
      <c r="B14" s="24" t="s">
        <v>1507</v>
      </c>
      <c r="C14" s="23" t="s">
        <v>1508</v>
      </c>
      <c r="D14" s="24"/>
      <c r="F14" s="24"/>
      <c r="G14" s="24"/>
      <c r="H14" s="24"/>
      <c r="I14" s="24"/>
    </row>
    <row r="15" spans="1:9">
      <c r="A15" s="24" t="s">
        <v>1030</v>
      </c>
      <c r="B15" s="24" t="s">
        <v>1509</v>
      </c>
      <c r="C15" s="24" t="s">
        <v>1510</v>
      </c>
      <c r="D15" s="24"/>
      <c r="E15" s="24"/>
      <c r="F15" s="24"/>
      <c r="G15" s="24"/>
      <c r="H15" s="24"/>
      <c r="I15" s="24"/>
    </row>
    <row r="16" spans="1:9">
      <c r="A16" s="24"/>
      <c r="C16" s="24"/>
      <c r="D16" s="24"/>
      <c r="E16" s="24"/>
      <c r="F16" s="24"/>
      <c r="G16" s="24"/>
      <c r="H16" s="24"/>
      <c r="I16" s="24"/>
    </row>
    <row r="17" spans="1:9">
      <c r="A17" s="24" t="s">
        <v>1511</v>
      </c>
      <c r="B17" s="24" t="s">
        <v>1512</v>
      </c>
      <c r="C17" s="24"/>
      <c r="D17" s="24"/>
      <c r="E17" s="24"/>
      <c r="F17" s="24"/>
      <c r="G17" s="24"/>
      <c r="H17" s="24"/>
      <c r="I17" s="24"/>
    </row>
    <row r="18" spans="1:9" ht="66">
      <c r="A18" s="24" t="s">
        <v>1513</v>
      </c>
      <c r="B18" s="24" t="s">
        <v>1514</v>
      </c>
      <c r="C18" s="24"/>
      <c r="D18" s="24"/>
      <c r="E18" s="24"/>
      <c r="F18" s="24"/>
      <c r="G18" s="24"/>
      <c r="H18" s="24"/>
      <c r="I18" s="24"/>
    </row>
    <row r="19" spans="1:9">
      <c r="A19" s="24" t="s">
        <v>1515</v>
      </c>
      <c r="B19" s="24" t="s">
        <v>1516</v>
      </c>
      <c r="C19" s="23" t="s">
        <v>1517</v>
      </c>
      <c r="D19" s="24" t="s">
        <v>1518</v>
      </c>
      <c r="E19" s="24"/>
      <c r="F19" s="24"/>
      <c r="G19" s="24"/>
      <c r="H19" s="24"/>
      <c r="I19" s="24"/>
    </row>
    <row r="20" spans="1:9">
      <c r="A20" s="24" t="s">
        <v>1519</v>
      </c>
      <c r="B20" s="24" t="s">
        <v>1520</v>
      </c>
      <c r="C20" s="23" t="s">
        <v>1521</v>
      </c>
      <c r="D20" s="24" t="s">
        <v>1522</v>
      </c>
      <c r="E20" s="24"/>
      <c r="F20" s="24"/>
      <c r="G20" s="24"/>
      <c r="H20" s="24"/>
      <c r="I20" s="24"/>
    </row>
    <row r="21" spans="1:9">
      <c r="D21" s="24"/>
      <c r="E21" s="24"/>
      <c r="F21" s="24"/>
      <c r="G21" s="24"/>
      <c r="H21" s="24"/>
      <c r="I21" s="24"/>
    </row>
    <row r="22" spans="1:9">
      <c r="D22" s="28"/>
      <c r="E22" s="24"/>
      <c r="F22" s="24"/>
      <c r="G22" s="24"/>
      <c r="H22" s="24"/>
      <c r="I22" s="24"/>
    </row>
    <row r="23" spans="1:9">
      <c r="D23" s="24"/>
      <c r="E23" s="24"/>
      <c r="F23" s="24"/>
      <c r="G23" s="24"/>
      <c r="H23" s="24"/>
      <c r="I23" s="24"/>
    </row>
    <row r="24" spans="1:9">
      <c r="D24" s="24"/>
      <c r="E24" s="24"/>
      <c r="F24" s="24"/>
      <c r="G24" s="24"/>
      <c r="H24" s="24"/>
      <c r="I24" s="24"/>
    </row>
    <row r="25" spans="1:9">
      <c r="D25" s="24"/>
      <c r="E25" s="24"/>
      <c r="F25" s="24"/>
      <c r="G25" s="24"/>
      <c r="H25" s="24"/>
      <c r="I25" s="24"/>
    </row>
    <row r="26" spans="1:9" ht="196.5" customHeight="1">
      <c r="A26" s="23" t="s">
        <v>1523</v>
      </c>
      <c r="B26" s="24" t="s">
        <v>1524</v>
      </c>
      <c r="D26" s="24"/>
      <c r="E26" s="24"/>
      <c r="F26" s="24"/>
      <c r="G26" s="24"/>
      <c r="H26" s="24"/>
      <c r="I26" s="24"/>
    </row>
    <row r="27" spans="1:9" ht="409.5" customHeight="1">
      <c r="A27" s="23" t="s">
        <v>1525</v>
      </c>
      <c r="B27" s="588" t="s">
        <v>1526</v>
      </c>
      <c r="D27" s="24"/>
      <c r="E27" s="24"/>
      <c r="F27" s="24"/>
      <c r="G27" s="24"/>
      <c r="H27" s="24"/>
      <c r="I27" s="24"/>
    </row>
    <row r="28" spans="1:9">
      <c r="B28" s="588"/>
      <c r="D28" s="24"/>
      <c r="E28" s="24"/>
      <c r="F28" s="24"/>
      <c r="G28" s="24"/>
      <c r="H28" s="24"/>
      <c r="I28" s="24"/>
    </row>
    <row r="29" spans="1:9">
      <c r="B29" s="588"/>
      <c r="D29" s="24"/>
      <c r="E29" s="24"/>
      <c r="F29" s="24"/>
      <c r="G29" s="24"/>
      <c r="H29" s="24"/>
      <c r="I29" s="24"/>
    </row>
    <row r="30" spans="1:9">
      <c r="B30" s="588"/>
      <c r="D30" s="24"/>
      <c r="E30" s="24"/>
      <c r="F30" s="24"/>
      <c r="G30" s="24"/>
      <c r="H30" s="24"/>
      <c r="I30" s="24"/>
    </row>
    <row r="31" spans="1:9">
      <c r="B31" s="588"/>
      <c r="D31" s="24"/>
      <c r="E31" s="24"/>
      <c r="F31" s="24"/>
      <c r="G31" s="24"/>
      <c r="H31" s="24"/>
      <c r="I31" s="24"/>
    </row>
    <row r="32" spans="1:9">
      <c r="D32" s="24"/>
      <c r="E32" s="24"/>
      <c r="F32" s="24"/>
      <c r="G32" s="24"/>
      <c r="H32" s="24"/>
      <c r="I32" s="24"/>
    </row>
    <row r="33" spans="4:9">
      <c r="D33" s="24"/>
      <c r="E33" s="24"/>
      <c r="F33" s="24"/>
      <c r="G33" s="24"/>
      <c r="H33" s="24"/>
      <c r="I33" s="24"/>
    </row>
    <row r="34" spans="4:9">
      <c r="D34" s="24"/>
      <c r="E34" s="24"/>
      <c r="F34" s="24"/>
      <c r="G34" s="24"/>
      <c r="H34" s="24"/>
      <c r="I34" s="24"/>
    </row>
    <row r="35" spans="4:9">
      <c r="D35" s="24"/>
      <c r="E35" s="24"/>
      <c r="F35" s="24"/>
      <c r="G35" s="24"/>
      <c r="H35" s="24"/>
      <c r="I35" s="24"/>
    </row>
    <row r="36" spans="4:9">
      <c r="D36" s="24"/>
      <c r="E36" s="24"/>
      <c r="F36" s="24"/>
      <c r="G36" s="24"/>
      <c r="H36" s="24"/>
      <c r="I36" s="24"/>
    </row>
    <row r="37" spans="4:9">
      <c r="D37" s="24"/>
      <c r="E37" s="24"/>
      <c r="F37" s="24"/>
      <c r="G37" s="24"/>
      <c r="H37" s="24"/>
      <c r="I37" s="24"/>
    </row>
    <row r="38" spans="4:9">
      <c r="D38" s="24"/>
      <c r="E38" s="24"/>
      <c r="F38" s="24"/>
      <c r="G38" s="24"/>
      <c r="H38" s="24"/>
      <c r="I38" s="24"/>
    </row>
    <row r="39" spans="4:9">
      <c r="D39" s="24"/>
      <c r="E39" s="24"/>
      <c r="F39" s="24"/>
      <c r="G39" s="24"/>
      <c r="H39" s="24"/>
      <c r="I39" s="24"/>
    </row>
    <row r="40" spans="4:9">
      <c r="D40" s="24"/>
      <c r="E40" s="24"/>
      <c r="F40" s="24"/>
      <c r="G40" s="24"/>
      <c r="H40" s="24"/>
      <c r="I40" s="24"/>
    </row>
    <row r="41" spans="4:9">
      <c r="D41" s="24"/>
      <c r="E41" s="24"/>
      <c r="F41" s="24"/>
      <c r="G41" s="24"/>
      <c r="H41" s="24"/>
      <c r="I41" s="24"/>
    </row>
    <row r="42" spans="4:9">
      <c r="D42" s="24"/>
      <c r="E42" s="24"/>
      <c r="F42" s="24"/>
      <c r="G42" s="24"/>
      <c r="H42" s="24"/>
      <c r="I42" s="24"/>
    </row>
    <row r="43" spans="4:9">
      <c r="D43" s="24"/>
      <c r="E43" s="24"/>
      <c r="F43" s="24"/>
      <c r="G43" s="24"/>
      <c r="H43" s="24"/>
      <c r="I43" s="24"/>
    </row>
    <row r="44" spans="4:9">
      <c r="D44" s="24"/>
      <c r="E44" s="24"/>
      <c r="F44" s="24"/>
      <c r="G44" s="24"/>
      <c r="H44" s="24"/>
      <c r="I44" s="24"/>
    </row>
    <row r="45" spans="4:9">
      <c r="D45" s="24"/>
      <c r="E45" s="24"/>
      <c r="F45" s="24"/>
      <c r="G45" s="24"/>
      <c r="H45" s="24"/>
      <c r="I45" s="24"/>
    </row>
    <row r="46" spans="4:9">
      <c r="D46" s="24"/>
      <c r="E46" s="24"/>
      <c r="F46" s="24"/>
      <c r="G46" s="24"/>
      <c r="H46" s="24"/>
      <c r="I46" s="24"/>
    </row>
    <row r="47" spans="4:9">
      <c r="D47" s="24"/>
      <c r="E47" s="24"/>
      <c r="F47" s="24"/>
      <c r="G47" s="24"/>
      <c r="H47" s="24"/>
      <c r="I47" s="24"/>
    </row>
    <row r="48" spans="4:9">
      <c r="D48" s="24"/>
      <c r="E48" s="24"/>
      <c r="F48" s="24"/>
      <c r="G48" s="24"/>
      <c r="H48" s="24"/>
      <c r="I48" s="24"/>
    </row>
    <row r="49" spans="4:9">
      <c r="D49" s="24"/>
      <c r="E49" s="24"/>
      <c r="F49" s="24"/>
      <c r="G49" s="24"/>
      <c r="H49" s="24"/>
      <c r="I49" s="24"/>
    </row>
    <row r="50" spans="4:9">
      <c r="D50" s="24"/>
      <c r="E50" s="24"/>
      <c r="F50" s="24"/>
      <c r="G50" s="24"/>
      <c r="H50" s="24"/>
      <c r="I50" s="24"/>
    </row>
    <row r="51" spans="4:9">
      <c r="D51" s="24"/>
      <c r="E51" s="24"/>
      <c r="F51" s="24"/>
      <c r="G51" s="24"/>
      <c r="H51" s="24"/>
      <c r="I51" s="24"/>
    </row>
    <row r="52" spans="4:9">
      <c r="D52" s="24"/>
      <c r="E52" s="24"/>
      <c r="F52" s="24"/>
      <c r="G52" s="24"/>
      <c r="H52" s="24"/>
      <c r="I52" s="24"/>
    </row>
    <row r="53" spans="4:9">
      <c r="D53" s="24"/>
      <c r="E53" s="24"/>
      <c r="F53" s="24"/>
      <c r="G53" s="24"/>
      <c r="H53" s="24"/>
      <c r="I53" s="24"/>
    </row>
    <row r="54" spans="4:9">
      <c r="D54" s="24"/>
      <c r="E54" s="24"/>
      <c r="F54" s="24"/>
      <c r="G54" s="24"/>
      <c r="H54" s="24"/>
      <c r="I54" s="24"/>
    </row>
    <row r="55" spans="4:9">
      <c r="D55" s="24"/>
      <c r="E55" s="24"/>
      <c r="F55" s="24"/>
      <c r="G55" s="24"/>
      <c r="H55" s="24"/>
      <c r="I55" s="24"/>
    </row>
    <row r="56" spans="4:9">
      <c r="D56" s="24"/>
      <c r="E56" s="24"/>
      <c r="F56" s="24"/>
      <c r="G56" s="24"/>
      <c r="H56" s="24"/>
      <c r="I56" s="24"/>
    </row>
    <row r="57" spans="4:9">
      <c r="D57" s="24"/>
      <c r="E57" s="24"/>
      <c r="F57" s="24"/>
      <c r="G57" s="24"/>
      <c r="H57" s="24"/>
      <c r="I57" s="24"/>
    </row>
    <row r="58" spans="4:9">
      <c r="D58" s="24"/>
      <c r="E58" s="24"/>
      <c r="F58" s="24"/>
      <c r="G58" s="24"/>
      <c r="H58" s="24"/>
      <c r="I58" s="24"/>
    </row>
    <row r="59" spans="4:9">
      <c r="D59" s="24"/>
      <c r="E59" s="24"/>
      <c r="F59" s="24"/>
      <c r="G59" s="24"/>
      <c r="H59" s="24"/>
      <c r="I59" s="24"/>
    </row>
    <row r="60" spans="4:9">
      <c r="D60" s="24"/>
      <c r="E60" s="24"/>
      <c r="F60" s="24"/>
      <c r="G60" s="24"/>
      <c r="H60" s="24"/>
      <c r="I60" s="24"/>
    </row>
    <row r="61" spans="4:9">
      <c r="D61" s="24"/>
      <c r="E61" s="24"/>
      <c r="F61" s="24"/>
      <c r="G61" s="24"/>
      <c r="H61" s="24"/>
      <c r="I61" s="24"/>
    </row>
    <row r="62" spans="4:9">
      <c r="D62" s="24"/>
      <c r="E62" s="24"/>
      <c r="F62" s="24"/>
      <c r="G62" s="24"/>
      <c r="H62" s="24"/>
      <c r="I62" s="24"/>
    </row>
    <row r="63" spans="4:9">
      <c r="D63" s="24"/>
      <c r="E63" s="24"/>
      <c r="F63" s="24"/>
      <c r="G63" s="24"/>
      <c r="H63" s="24"/>
      <c r="I63" s="24"/>
    </row>
    <row r="64" spans="4:9">
      <c r="D64" s="24"/>
      <c r="E64" s="24"/>
      <c r="F64" s="24"/>
      <c r="G64" s="24"/>
      <c r="H64" s="24"/>
      <c r="I64" s="24"/>
    </row>
    <row r="65" spans="4:9">
      <c r="D65" s="24"/>
      <c r="E65" s="24"/>
      <c r="F65" s="24"/>
      <c r="G65" s="24"/>
      <c r="H65" s="24"/>
      <c r="I65" s="24"/>
    </row>
    <row r="66" spans="4:9">
      <c r="D66" s="24"/>
      <c r="E66" s="24"/>
      <c r="F66" s="24"/>
      <c r="G66" s="24"/>
      <c r="H66" s="24"/>
      <c r="I66" s="24"/>
    </row>
    <row r="67" spans="4:9">
      <c r="D67" s="24"/>
      <c r="E67" s="24"/>
      <c r="F67" s="24"/>
      <c r="G67" s="24"/>
      <c r="H67" s="24"/>
      <c r="I67" s="24"/>
    </row>
    <row r="68" spans="4:9">
      <c r="D68" s="24"/>
      <c r="E68" s="24"/>
      <c r="F68" s="24"/>
      <c r="G68" s="24"/>
      <c r="H68" s="24"/>
      <c r="I68" s="24"/>
    </row>
    <row r="69" spans="4:9">
      <c r="D69" s="24"/>
      <c r="E69" s="24"/>
      <c r="F69" s="24"/>
      <c r="G69" s="24"/>
      <c r="H69" s="24"/>
      <c r="I69" s="24"/>
    </row>
    <row r="70" spans="4:9">
      <c r="D70" s="24"/>
      <c r="E70" s="24"/>
      <c r="F70" s="24"/>
      <c r="G70" s="24"/>
      <c r="H70" s="24"/>
      <c r="I70" s="24"/>
    </row>
    <row r="71" spans="4:9">
      <c r="D71" s="24"/>
      <c r="E71" s="24"/>
      <c r="F71" s="24"/>
      <c r="G71" s="24"/>
      <c r="H71" s="24"/>
      <c r="I71" s="24"/>
    </row>
    <row r="72" spans="4:9">
      <c r="D72" s="24"/>
      <c r="E72" s="24"/>
      <c r="F72" s="24"/>
      <c r="G72" s="24"/>
      <c r="H72" s="24"/>
      <c r="I72" s="24"/>
    </row>
    <row r="73" spans="4:9">
      <c r="D73" s="24"/>
      <c r="E73" s="24"/>
      <c r="F73" s="24"/>
      <c r="G73" s="24"/>
      <c r="H73" s="24"/>
      <c r="I73" s="24"/>
    </row>
    <row r="74" spans="4:9">
      <c r="D74" s="24"/>
      <c r="E74" s="24"/>
      <c r="F74" s="24"/>
      <c r="G74" s="24"/>
      <c r="H74" s="24"/>
      <c r="I74" s="24"/>
    </row>
    <row r="75" spans="4:9">
      <c r="D75" s="24"/>
      <c r="E75" s="24"/>
      <c r="F75" s="24"/>
      <c r="G75" s="24"/>
      <c r="H75" s="24"/>
      <c r="I75" s="24"/>
    </row>
    <row r="76" spans="4:9">
      <c r="D76" s="24"/>
      <c r="E76" s="24"/>
      <c r="F76" s="24"/>
      <c r="G76" s="24"/>
      <c r="H76" s="24"/>
      <c r="I76" s="24"/>
    </row>
    <row r="77" spans="4:9">
      <c r="D77" s="24"/>
      <c r="E77" s="24"/>
      <c r="F77" s="24"/>
      <c r="G77" s="24"/>
      <c r="H77" s="24"/>
      <c r="I77" s="24"/>
    </row>
    <row r="78" spans="4:9">
      <c r="D78" s="24"/>
      <c r="E78" s="24"/>
      <c r="F78" s="24"/>
      <c r="G78" s="24"/>
      <c r="H78" s="24"/>
      <c r="I78" s="24"/>
    </row>
    <row r="79" spans="4:9">
      <c r="D79" s="24"/>
      <c r="E79" s="24"/>
      <c r="F79" s="24"/>
      <c r="G79" s="24"/>
      <c r="H79" s="24"/>
      <c r="I79" s="24"/>
    </row>
    <row r="80" spans="4:9">
      <c r="D80" s="24"/>
      <c r="E80" s="24"/>
      <c r="F80" s="24"/>
      <c r="G80" s="24"/>
      <c r="H80" s="24"/>
      <c r="I80" s="24"/>
    </row>
    <row r="81" spans="3:9">
      <c r="D81" s="24"/>
      <c r="E81" s="24"/>
      <c r="F81" s="24"/>
      <c r="G81" s="24"/>
      <c r="H81" s="24"/>
      <c r="I81" s="24"/>
    </row>
    <row r="82" spans="3:9">
      <c r="D82" s="24"/>
      <c r="E82" s="24"/>
      <c r="F82" s="24"/>
      <c r="G82" s="24"/>
      <c r="H82" s="24"/>
      <c r="I82" s="24"/>
    </row>
    <row r="83" spans="3:9">
      <c r="D83" s="24"/>
      <c r="E83" s="24"/>
      <c r="F83" s="24"/>
      <c r="G83" s="24"/>
      <c r="H83" s="24"/>
      <c r="I83" s="24"/>
    </row>
    <row r="84" spans="3:9">
      <c r="D84" s="24"/>
      <c r="E84" s="24"/>
      <c r="F84" s="24"/>
      <c r="G84" s="24"/>
      <c r="H84" s="24"/>
      <c r="I84" s="24"/>
    </row>
    <row r="85" spans="3:9">
      <c r="D85" s="24"/>
      <c r="E85" s="24"/>
      <c r="F85" s="24"/>
      <c r="G85" s="24"/>
      <c r="H85" s="24"/>
      <c r="I85" s="24"/>
    </row>
    <row r="86" spans="3:9">
      <c r="D86" s="24"/>
      <c r="E86" s="24"/>
      <c r="F86" s="24"/>
      <c r="G86" s="24"/>
      <c r="H86" s="24"/>
      <c r="I86" s="24"/>
    </row>
    <row r="87" spans="3:9">
      <c r="D87" s="24"/>
      <c r="E87" s="24"/>
      <c r="F87" s="24"/>
      <c r="G87" s="24"/>
      <c r="H87" s="24"/>
      <c r="I87" s="24"/>
    </row>
    <row r="88" spans="3:9">
      <c r="D88" s="24"/>
      <c r="E88" s="24"/>
      <c r="F88" s="24"/>
      <c r="G88" s="24"/>
      <c r="H88" s="24"/>
      <c r="I88" s="24"/>
    </row>
    <row r="89" spans="3:9">
      <c r="D89" s="24"/>
      <c r="E89" s="24"/>
      <c r="F89" s="24"/>
      <c r="G89" s="24"/>
      <c r="H89" s="24"/>
      <c r="I89" s="24"/>
    </row>
    <row r="90" spans="3:9">
      <c r="D90" s="24"/>
      <c r="G90" s="24"/>
      <c r="H90" s="24"/>
      <c r="I90" s="24"/>
    </row>
    <row r="91" spans="3:9">
      <c r="D91" s="24"/>
      <c r="G91" s="24"/>
      <c r="H91" s="24"/>
      <c r="I91" s="24"/>
    </row>
    <row r="92" spans="3:9">
      <c r="C92" s="27"/>
      <c r="G92" s="24"/>
      <c r="H92" s="24"/>
      <c r="I92" s="24"/>
    </row>
    <row r="93" spans="3:9">
      <c r="D93" s="24"/>
      <c r="F93" s="24"/>
      <c r="G93" s="24"/>
      <c r="H93" s="24"/>
      <c r="I93" s="24"/>
    </row>
    <row r="94" spans="3:9">
      <c r="D94" s="24"/>
      <c r="F94" s="24"/>
      <c r="G94" s="24"/>
      <c r="H94" s="24"/>
      <c r="I94" s="24"/>
    </row>
    <row r="95" spans="3:9">
      <c r="D95" s="24"/>
      <c r="F95" s="24"/>
      <c r="G95" s="24"/>
      <c r="H95" s="24"/>
      <c r="I95" s="24"/>
    </row>
    <row r="96" spans="3:9">
      <c r="D96" s="24"/>
      <c r="F96" s="24"/>
      <c r="G96" s="24"/>
      <c r="H96" s="24"/>
      <c r="I96" s="24"/>
    </row>
    <row r="97" spans="1:9">
      <c r="D97" s="24"/>
      <c r="F97" s="24"/>
      <c r="G97" s="24"/>
      <c r="H97" s="24"/>
      <c r="I97" s="24"/>
    </row>
    <row r="98" spans="1:9">
      <c r="D98" s="24"/>
      <c r="F98" s="24"/>
      <c r="G98" s="24"/>
      <c r="H98" s="24"/>
      <c r="I98" s="24"/>
    </row>
    <row r="99" spans="1:9">
      <c r="D99" s="24"/>
      <c r="F99" s="24"/>
      <c r="G99" s="24"/>
      <c r="H99" s="24"/>
      <c r="I99" s="24"/>
    </row>
    <row r="100" spans="1:9">
      <c r="A100" s="24"/>
      <c r="C100" s="24"/>
      <c r="D100" s="24"/>
      <c r="E100" s="24"/>
      <c r="F100" s="24"/>
      <c r="G100" s="24"/>
      <c r="H100" s="24"/>
      <c r="I100" s="24"/>
    </row>
    <row r="101" spans="1:9">
      <c r="A101" s="24"/>
      <c r="C101" s="24"/>
      <c r="D101" s="24"/>
      <c r="E101" s="24"/>
      <c r="F101" s="24"/>
      <c r="G101" s="24"/>
      <c r="H101" s="24"/>
      <c r="I101" s="24"/>
    </row>
    <row r="102" spans="1:9">
      <c r="A102" s="24"/>
      <c r="C102" s="24"/>
      <c r="D102" s="24"/>
      <c r="E102" s="24"/>
      <c r="F102" s="24"/>
      <c r="G102" s="24"/>
      <c r="H102" s="24"/>
      <c r="I102" s="24"/>
    </row>
    <row r="103" spans="1:9">
      <c r="A103" s="24"/>
      <c r="C103" s="24"/>
      <c r="D103" s="24"/>
      <c r="E103" s="24"/>
      <c r="F103" s="24"/>
      <c r="G103" s="24"/>
      <c r="H103" s="24"/>
      <c r="I103" s="24"/>
    </row>
    <row r="104" spans="1:9">
      <c r="F104" s="24"/>
      <c r="G104" s="24"/>
      <c r="H104" s="24"/>
      <c r="I104" s="24"/>
    </row>
    <row r="105" spans="1:9">
      <c r="F105" s="24"/>
      <c r="G105" s="24"/>
      <c r="H105" s="24"/>
      <c r="I105" s="24"/>
    </row>
    <row r="106" spans="1:9">
      <c r="D106" s="24"/>
      <c r="E106" s="24"/>
      <c r="F106" s="24"/>
      <c r="G106" s="24"/>
      <c r="H106" s="24"/>
      <c r="I106" s="24"/>
    </row>
    <row r="107" spans="1:9">
      <c r="D107" s="24"/>
      <c r="E107" s="24"/>
      <c r="F107" s="24"/>
      <c r="G107" s="24"/>
      <c r="H107" s="24"/>
      <c r="I107" s="24"/>
    </row>
    <row r="108" spans="1:9">
      <c r="D108" s="24"/>
      <c r="E108" s="24"/>
      <c r="F108" s="24"/>
      <c r="G108" s="24"/>
      <c r="H108" s="24"/>
      <c r="I108" s="24"/>
    </row>
    <row r="109" spans="1:9">
      <c r="D109" s="24"/>
      <c r="E109" s="24"/>
      <c r="F109" s="24"/>
      <c r="G109" s="24"/>
      <c r="H109" s="24"/>
      <c r="I109" s="24"/>
    </row>
    <row r="110" spans="1:9">
      <c r="D110" s="24"/>
      <c r="E110" s="24"/>
      <c r="F110" s="24"/>
      <c r="G110" s="24"/>
      <c r="H110" s="24"/>
      <c r="I110" s="24"/>
    </row>
    <row r="111" spans="1:9">
      <c r="D111" s="24"/>
      <c r="E111" s="24"/>
      <c r="F111" s="24"/>
      <c r="G111" s="24"/>
      <c r="H111" s="24"/>
      <c r="I111" s="24"/>
    </row>
    <row r="112" spans="1:9">
      <c r="A112" s="24"/>
      <c r="D112" s="24"/>
      <c r="E112" s="24"/>
      <c r="F112" s="24"/>
      <c r="G112" s="24"/>
      <c r="H112" s="24"/>
      <c r="I112" s="24"/>
    </row>
    <row r="113" spans="1:9">
      <c r="A113" s="24"/>
      <c r="D113" s="24"/>
      <c r="E113" s="24"/>
      <c r="F113" s="24"/>
      <c r="G113" s="24"/>
      <c r="H113" s="24"/>
      <c r="I113" s="24"/>
    </row>
    <row r="114" spans="1:9">
      <c r="D114" s="24"/>
      <c r="E114" s="24"/>
      <c r="F114" s="24"/>
      <c r="G114" s="24"/>
      <c r="H114" s="24"/>
      <c r="I114" s="24"/>
    </row>
    <row r="115" spans="1:9">
      <c r="D115" s="24"/>
      <c r="E115" s="24"/>
      <c r="F115" s="24"/>
      <c r="G115" s="24"/>
      <c r="H115" s="24"/>
      <c r="I115" s="24"/>
    </row>
    <row r="116" spans="1:9">
      <c r="D116" s="24"/>
      <c r="E116" s="24"/>
      <c r="F116" s="24"/>
      <c r="G116" s="24"/>
      <c r="H116" s="24"/>
      <c r="I116" s="24"/>
    </row>
    <row r="117" spans="1:9">
      <c r="D117" s="24"/>
      <c r="E117" s="24"/>
      <c r="F117" s="24"/>
      <c r="G117" s="24"/>
      <c r="H117" s="24"/>
      <c r="I117" s="24"/>
    </row>
    <row r="118" spans="1:9">
      <c r="D118" s="24"/>
      <c r="E118" s="24"/>
      <c r="F118" s="24"/>
      <c r="G118" s="24"/>
      <c r="H118" s="24"/>
      <c r="I118" s="24"/>
    </row>
    <row r="119" spans="1:9">
      <c r="D119" s="24"/>
      <c r="E119" s="24"/>
      <c r="F119" s="24"/>
      <c r="G119" s="24"/>
      <c r="H119" s="24"/>
      <c r="I119" s="24"/>
    </row>
    <row r="120" spans="1:9">
      <c r="D120" s="24"/>
      <c r="E120" s="24"/>
      <c r="F120" s="24"/>
      <c r="G120" s="24"/>
      <c r="H120" s="24"/>
      <c r="I120" s="24"/>
    </row>
    <row r="121" spans="1:9">
      <c r="D121" s="24"/>
      <c r="E121" s="24"/>
      <c r="F121" s="24"/>
      <c r="G121" s="24"/>
      <c r="H121" s="24"/>
      <c r="I121" s="24"/>
    </row>
    <row r="122" spans="1:9">
      <c r="D122" s="24"/>
      <c r="E122" s="24"/>
      <c r="F122" s="24"/>
      <c r="G122" s="24"/>
      <c r="H122" s="24"/>
      <c r="I122" s="24"/>
    </row>
    <row r="123" spans="1:9">
      <c r="D123" s="24"/>
      <c r="E123" s="24"/>
      <c r="F123" s="24"/>
      <c r="G123" s="24"/>
      <c r="H123" s="24"/>
      <c r="I123" s="24"/>
    </row>
    <row r="124" spans="1:9">
      <c r="D124" s="24"/>
      <c r="E124" s="24"/>
      <c r="F124" s="24"/>
      <c r="G124" s="24"/>
      <c r="H124" s="24"/>
      <c r="I124" s="24"/>
    </row>
    <row r="125" spans="1:9">
      <c r="D125" s="24"/>
      <c r="E125" s="24"/>
      <c r="F125" s="24"/>
      <c r="G125" s="24"/>
      <c r="H125" s="24"/>
      <c r="I125" s="24"/>
    </row>
    <row r="126" spans="1:9">
      <c r="D126" s="24"/>
      <c r="E126" s="24"/>
      <c r="F126" s="24"/>
      <c r="G126" s="24"/>
      <c r="H126" s="24"/>
      <c r="I126" s="24"/>
    </row>
    <row r="127" spans="1:9">
      <c r="D127" s="24"/>
      <c r="E127" s="24"/>
      <c r="F127" s="24"/>
      <c r="G127" s="24"/>
      <c r="H127" s="24"/>
      <c r="I127" s="24"/>
    </row>
    <row r="128" spans="1:9">
      <c r="D128" s="24"/>
      <c r="E128" s="24"/>
      <c r="F128" s="24"/>
      <c r="G128" s="24"/>
      <c r="H128" s="24"/>
      <c r="I128" s="24"/>
    </row>
    <row r="129" spans="1:9">
      <c r="D129" s="24"/>
      <c r="E129" s="24"/>
      <c r="F129" s="24"/>
      <c r="G129" s="24"/>
      <c r="H129" s="24"/>
      <c r="I129" s="24"/>
    </row>
    <row r="130" spans="1:9">
      <c r="D130" s="24"/>
      <c r="G130" s="24"/>
      <c r="H130" s="24"/>
      <c r="I130" s="24"/>
    </row>
    <row r="131" spans="1:9">
      <c r="D131" s="24"/>
      <c r="G131" s="24"/>
      <c r="H131" s="24"/>
      <c r="I131" s="24"/>
    </row>
    <row r="132" spans="1:9">
      <c r="C132" s="27"/>
      <c r="G132" s="24"/>
      <c r="H132" s="24"/>
      <c r="I132" s="24"/>
    </row>
    <row r="133" spans="1:9">
      <c r="D133" s="24"/>
      <c r="F133" s="24"/>
      <c r="G133" s="24"/>
      <c r="H133" s="24"/>
      <c r="I133" s="24"/>
    </row>
    <row r="134" spans="1:9">
      <c r="D134" s="24"/>
      <c r="F134" s="24"/>
      <c r="G134" s="24"/>
      <c r="H134" s="24"/>
      <c r="I134" s="24"/>
    </row>
    <row r="135" spans="1:9">
      <c r="D135" s="24"/>
      <c r="F135" s="24"/>
      <c r="G135" s="24"/>
      <c r="H135" s="24"/>
      <c r="I135" s="24"/>
    </row>
    <row r="136" spans="1:9">
      <c r="D136" s="24"/>
      <c r="F136" s="24"/>
      <c r="G136" s="24"/>
      <c r="H136" s="24"/>
      <c r="I136" s="24"/>
    </row>
    <row r="137" spans="1:9">
      <c r="D137" s="24"/>
      <c r="F137" s="24"/>
      <c r="G137" s="24"/>
      <c r="H137" s="24"/>
      <c r="I137" s="24"/>
    </row>
    <row r="138" spans="1:9">
      <c r="D138" s="24"/>
      <c r="F138" s="24"/>
      <c r="G138" s="24"/>
      <c r="H138" s="24"/>
      <c r="I138" s="24"/>
    </row>
    <row r="139" spans="1:9">
      <c r="D139" s="24"/>
      <c r="F139" s="24"/>
      <c r="G139" s="24"/>
      <c r="H139" s="24"/>
      <c r="I139" s="24"/>
    </row>
    <row r="140" spans="1:9">
      <c r="A140" s="24"/>
      <c r="C140" s="24"/>
      <c r="D140" s="24"/>
      <c r="E140" s="24"/>
      <c r="F140" s="24"/>
      <c r="G140" s="24"/>
      <c r="H140" s="24"/>
      <c r="I140" s="24"/>
    </row>
    <row r="141" spans="1:9">
      <c r="A141" s="24"/>
      <c r="C141" s="24"/>
      <c r="D141" s="24"/>
      <c r="E141" s="24"/>
      <c r="F141" s="24"/>
      <c r="G141" s="24"/>
      <c r="H141" s="24"/>
      <c r="I141" s="24"/>
    </row>
    <row r="142" spans="1:9">
      <c r="A142" s="24"/>
      <c r="C142" s="24"/>
      <c r="D142" s="24"/>
      <c r="E142" s="24"/>
      <c r="F142" s="24"/>
      <c r="G142" s="24"/>
      <c r="H142" s="24"/>
      <c r="I142" s="24"/>
    </row>
    <row r="143" spans="1:9">
      <c r="A143" s="24"/>
      <c r="C143" s="24"/>
      <c r="D143" s="24"/>
      <c r="E143" s="24"/>
      <c r="F143" s="24"/>
      <c r="G143" s="24"/>
      <c r="H143" s="24"/>
      <c r="I143" s="24"/>
    </row>
    <row r="144" spans="1:9">
      <c r="F144" s="24"/>
      <c r="G144" s="24"/>
      <c r="H144" s="24"/>
      <c r="I144" s="24"/>
    </row>
    <row r="145" spans="4:9">
      <c r="F145" s="24"/>
      <c r="G145" s="24"/>
      <c r="H145" s="24"/>
      <c r="I145" s="24"/>
    </row>
    <row r="146" spans="4:9">
      <c r="D146" s="24"/>
      <c r="E146" s="24"/>
      <c r="F146" s="24"/>
      <c r="G146" s="24"/>
      <c r="H146" s="24"/>
      <c r="I146" s="24"/>
    </row>
    <row r="147" spans="4:9">
      <c r="D147" s="24"/>
      <c r="E147" s="24"/>
      <c r="F147" s="24"/>
      <c r="G147" s="24"/>
      <c r="H147" s="24"/>
      <c r="I147" s="24"/>
    </row>
    <row r="148" spans="4:9">
      <c r="D148" s="24"/>
      <c r="E148" s="24"/>
      <c r="F148" s="24"/>
      <c r="G148" s="24"/>
      <c r="H148" s="24"/>
      <c r="I148" s="24"/>
    </row>
    <row r="149" spans="4:9">
      <c r="D149" s="24"/>
      <c r="E149" s="24"/>
      <c r="F149" s="24"/>
      <c r="G149" s="24"/>
      <c r="H149" s="24"/>
      <c r="I149" s="24"/>
    </row>
    <row r="150" spans="4:9">
      <c r="D150" s="24"/>
      <c r="E150" s="24"/>
      <c r="F150" s="24"/>
      <c r="G150" s="24"/>
      <c r="H150" s="24"/>
      <c r="I150" s="24"/>
    </row>
    <row r="151" spans="4:9">
      <c r="D151" s="24"/>
      <c r="E151" s="24"/>
      <c r="F151" s="24"/>
      <c r="G151" s="24"/>
      <c r="H151" s="24"/>
      <c r="I151" s="24"/>
    </row>
    <row r="152" spans="4:9">
      <c r="D152" s="24"/>
      <c r="E152" s="24"/>
      <c r="F152" s="24"/>
      <c r="G152" s="24"/>
      <c r="H152" s="24"/>
      <c r="I152" s="24"/>
    </row>
    <row r="153" spans="4:9">
      <c r="D153" s="24"/>
      <c r="E153" s="24"/>
      <c r="F153" s="24"/>
      <c r="G153" s="24"/>
      <c r="H153" s="24"/>
      <c r="I153" s="24"/>
    </row>
    <row r="154" spans="4:9">
      <c r="D154" s="24"/>
      <c r="E154" s="24"/>
      <c r="F154" s="24"/>
      <c r="G154" s="24"/>
      <c r="H154" s="24"/>
      <c r="I154" s="24"/>
    </row>
    <row r="155" spans="4:9">
      <c r="D155" s="24"/>
      <c r="E155" s="24"/>
      <c r="F155" s="24"/>
      <c r="G155" s="24"/>
      <c r="H155" s="24"/>
      <c r="I155" s="24"/>
    </row>
    <row r="156" spans="4:9">
      <c r="D156" s="24"/>
      <c r="E156" s="24"/>
      <c r="F156" s="24"/>
      <c r="G156" s="24"/>
      <c r="H156" s="24"/>
      <c r="I156" s="24"/>
    </row>
    <row r="157" spans="4:9">
      <c r="D157" s="24"/>
      <c r="E157" s="24"/>
      <c r="F157" s="24"/>
      <c r="G157" s="24"/>
      <c r="H157" s="24"/>
      <c r="I157" s="24"/>
    </row>
    <row r="158" spans="4:9">
      <c r="D158" s="24"/>
      <c r="E158" s="24"/>
      <c r="F158" s="24"/>
      <c r="G158" s="24"/>
      <c r="H158" s="24"/>
      <c r="I158" s="24"/>
    </row>
    <row r="159" spans="4:9">
      <c r="D159" s="24"/>
      <c r="E159" s="24"/>
      <c r="F159" s="24"/>
      <c r="G159" s="24"/>
      <c r="H159" s="24"/>
      <c r="I159" s="24"/>
    </row>
    <row r="160" spans="4:9">
      <c r="D160" s="24"/>
      <c r="E160" s="24"/>
      <c r="F160" s="24"/>
      <c r="G160" s="24"/>
      <c r="H160" s="24"/>
      <c r="I160" s="24"/>
    </row>
    <row r="161" spans="4:9">
      <c r="D161" s="24"/>
      <c r="E161" s="24"/>
      <c r="F161" s="24"/>
      <c r="G161" s="24"/>
      <c r="H161" s="24"/>
      <c r="I161" s="24"/>
    </row>
    <row r="162" spans="4:9">
      <c r="D162" s="24"/>
      <c r="E162" s="24"/>
      <c r="F162" s="24"/>
      <c r="G162" s="24"/>
      <c r="H162" s="24"/>
      <c r="I162" s="24"/>
    </row>
    <row r="163" spans="4:9">
      <c r="D163" s="24"/>
      <c r="E163" s="24"/>
      <c r="F163" s="24"/>
      <c r="G163" s="24"/>
      <c r="H163" s="24"/>
      <c r="I163" s="24"/>
    </row>
    <row r="164" spans="4:9">
      <c r="D164" s="24"/>
      <c r="E164" s="24"/>
      <c r="F164" s="24"/>
      <c r="G164" s="24"/>
      <c r="H164" s="24"/>
      <c r="I164" s="24"/>
    </row>
    <row r="165" spans="4:9">
      <c r="D165" s="24"/>
      <c r="E165" s="24"/>
      <c r="F165" s="24"/>
      <c r="G165" s="24"/>
      <c r="H165" s="24"/>
      <c r="I165" s="24"/>
    </row>
    <row r="166" spans="4:9">
      <c r="D166" s="24"/>
      <c r="E166" s="24"/>
      <c r="F166" s="24"/>
      <c r="G166" s="24"/>
      <c r="H166" s="24"/>
      <c r="I166" s="24"/>
    </row>
    <row r="167" spans="4:9">
      <c r="D167" s="24"/>
      <c r="E167" s="24"/>
      <c r="F167" s="24"/>
      <c r="G167" s="24"/>
      <c r="H167" s="24"/>
      <c r="I167" s="24"/>
    </row>
    <row r="168" spans="4:9">
      <c r="D168" s="24"/>
      <c r="E168" s="24"/>
      <c r="F168" s="24"/>
      <c r="G168" s="24"/>
      <c r="H168" s="24"/>
      <c r="I168" s="24"/>
    </row>
    <row r="169" spans="4:9">
      <c r="D169" s="24"/>
      <c r="E169" s="24"/>
      <c r="F169" s="24"/>
      <c r="G169" s="24"/>
      <c r="H169" s="24"/>
      <c r="I169" s="24"/>
    </row>
    <row r="170" spans="4:9">
      <c r="D170" s="24"/>
      <c r="E170" s="24"/>
      <c r="F170" s="24"/>
      <c r="G170" s="24"/>
      <c r="H170" s="24"/>
      <c r="I170" s="24"/>
    </row>
    <row r="171" spans="4:9">
      <c r="D171" s="24"/>
      <c r="E171" s="24"/>
      <c r="F171" s="24"/>
      <c r="G171" s="24"/>
      <c r="H171" s="24"/>
      <c r="I171" s="24"/>
    </row>
    <row r="172" spans="4:9">
      <c r="D172" s="24"/>
      <c r="E172" s="24"/>
      <c r="F172" s="24"/>
      <c r="G172" s="24"/>
      <c r="H172" s="24"/>
      <c r="I172" s="24"/>
    </row>
    <row r="173" spans="4:9">
      <c r="D173" s="24"/>
      <c r="E173" s="24"/>
      <c r="F173" s="24"/>
      <c r="G173" s="24"/>
      <c r="H173" s="24"/>
      <c r="I173" s="24"/>
    </row>
    <row r="174" spans="4:9">
      <c r="D174" s="24"/>
      <c r="E174" s="24"/>
      <c r="F174" s="24"/>
      <c r="G174" s="24"/>
      <c r="H174" s="24"/>
      <c r="I174" s="24"/>
    </row>
    <row r="175" spans="4:9">
      <c r="D175" s="24"/>
      <c r="E175" s="24"/>
      <c r="F175" s="24"/>
      <c r="G175" s="24"/>
      <c r="H175" s="24"/>
      <c r="I175" s="24"/>
    </row>
    <row r="176" spans="4:9">
      <c r="D176" s="24"/>
      <c r="E176" s="24"/>
      <c r="F176" s="24"/>
      <c r="G176" s="24"/>
      <c r="H176" s="24"/>
      <c r="I176" s="24"/>
    </row>
    <row r="177" spans="4:9">
      <c r="D177" s="24"/>
      <c r="E177" s="24"/>
      <c r="F177" s="24"/>
      <c r="G177" s="24"/>
      <c r="H177" s="24"/>
      <c r="I177" s="24"/>
    </row>
    <row r="178" spans="4:9">
      <c r="D178" s="24"/>
      <c r="E178" s="24"/>
      <c r="F178" s="24"/>
      <c r="G178" s="24"/>
      <c r="H178" s="24"/>
      <c r="I178" s="24"/>
    </row>
    <row r="179" spans="4:9">
      <c r="D179" s="24"/>
      <c r="E179" s="24"/>
      <c r="F179" s="24"/>
      <c r="G179" s="24"/>
      <c r="H179" s="24"/>
      <c r="I179" s="24"/>
    </row>
    <row r="180" spans="4:9">
      <c r="D180" s="24"/>
      <c r="E180" s="24"/>
      <c r="F180" s="24"/>
      <c r="G180" s="24"/>
      <c r="H180" s="24"/>
      <c r="I180" s="24"/>
    </row>
    <row r="181" spans="4:9">
      <c r="D181" s="24"/>
      <c r="E181" s="24"/>
      <c r="F181" s="24"/>
      <c r="G181" s="24"/>
      <c r="H181" s="24"/>
      <c r="I181" s="24"/>
    </row>
    <row r="182" spans="4:9">
      <c r="D182" s="24"/>
      <c r="E182" s="24"/>
      <c r="F182" s="24"/>
      <c r="G182" s="24"/>
      <c r="H182" s="24"/>
      <c r="I182" s="24"/>
    </row>
    <row r="183" spans="4:9">
      <c r="D183" s="24"/>
      <c r="E183" s="24"/>
      <c r="F183" s="24"/>
      <c r="G183" s="24"/>
      <c r="H183" s="24"/>
      <c r="I183" s="24"/>
    </row>
    <row r="184" spans="4:9">
      <c r="D184" s="24"/>
      <c r="E184" s="24"/>
      <c r="F184" s="24"/>
      <c r="G184" s="24"/>
      <c r="H184" s="24"/>
      <c r="I184" s="24"/>
    </row>
    <row r="185" spans="4:9">
      <c r="D185" s="24"/>
      <c r="E185" s="24"/>
      <c r="F185" s="24"/>
      <c r="G185" s="24"/>
      <c r="H185" s="24"/>
      <c r="I185" s="24"/>
    </row>
    <row r="186" spans="4:9">
      <c r="D186" s="24"/>
      <c r="E186" s="24"/>
      <c r="F186" s="24"/>
      <c r="G186" s="24"/>
      <c r="H186" s="24"/>
      <c r="I186" s="24"/>
    </row>
    <row r="187" spans="4:9">
      <c r="D187" s="24"/>
      <c r="E187" s="24"/>
      <c r="F187" s="24"/>
      <c r="G187" s="24"/>
      <c r="H187" s="24"/>
      <c r="I187" s="24"/>
    </row>
    <row r="188" spans="4:9">
      <c r="D188" s="24"/>
      <c r="E188" s="24"/>
      <c r="F188" s="24"/>
      <c r="G188" s="24"/>
      <c r="H188" s="24"/>
      <c r="I188" s="24"/>
    </row>
    <row r="189" spans="4:9">
      <c r="D189" s="24"/>
      <c r="E189" s="24"/>
      <c r="F189" s="24"/>
      <c r="G189" s="24"/>
      <c r="H189" s="24"/>
      <c r="I189" s="24"/>
    </row>
    <row r="190" spans="4:9">
      <c r="D190" s="24"/>
      <c r="E190" s="24"/>
      <c r="F190" s="24"/>
      <c r="G190" s="24"/>
      <c r="H190" s="24"/>
      <c r="I190" s="24"/>
    </row>
    <row r="191" spans="4:9">
      <c r="D191" s="24"/>
      <c r="E191" s="24"/>
      <c r="F191" s="24"/>
      <c r="G191" s="24"/>
      <c r="H191" s="24"/>
      <c r="I191" s="24"/>
    </row>
    <row r="192" spans="4:9">
      <c r="D192" s="24"/>
      <c r="E192" s="24"/>
      <c r="F192" s="24"/>
      <c r="G192" s="24"/>
      <c r="H192" s="24"/>
      <c r="I192" s="24"/>
    </row>
    <row r="193" spans="4:9">
      <c r="D193" s="24"/>
      <c r="E193" s="24"/>
      <c r="F193" s="24"/>
      <c r="G193" s="24"/>
      <c r="H193" s="24"/>
      <c r="I193" s="24"/>
    </row>
    <row r="194" spans="4:9">
      <c r="D194" s="24"/>
      <c r="E194" s="24"/>
      <c r="F194" s="24"/>
      <c r="G194" s="24"/>
      <c r="H194" s="24"/>
      <c r="I194" s="24"/>
    </row>
    <row r="195" spans="4:9">
      <c r="D195" s="24"/>
      <c r="E195" s="24"/>
      <c r="F195" s="24"/>
      <c r="G195" s="24"/>
      <c r="H195" s="24"/>
      <c r="I195" s="24"/>
    </row>
    <row r="196" spans="4:9">
      <c r="D196" s="24"/>
      <c r="E196" s="24"/>
      <c r="F196" s="24"/>
      <c r="G196" s="24"/>
      <c r="H196" s="24"/>
      <c r="I196" s="24"/>
    </row>
    <row r="197" spans="4:9">
      <c r="D197" s="24"/>
      <c r="E197" s="24"/>
      <c r="F197" s="24"/>
      <c r="G197" s="24"/>
      <c r="H197" s="24"/>
      <c r="I197" s="24"/>
    </row>
    <row r="198" spans="4:9">
      <c r="D198" s="24"/>
      <c r="E198" s="24"/>
      <c r="F198" s="24"/>
      <c r="G198" s="24"/>
      <c r="H198" s="24"/>
      <c r="I198" s="24"/>
    </row>
    <row r="199" spans="4:9">
      <c r="D199" s="24"/>
      <c r="E199" s="24"/>
      <c r="F199" s="24"/>
      <c r="G199" s="24"/>
      <c r="H199" s="24"/>
      <c r="I199" s="24"/>
    </row>
    <row r="200" spans="4:9">
      <c r="D200" s="24"/>
      <c r="E200" s="24"/>
      <c r="F200" s="24"/>
      <c r="G200" s="24"/>
      <c r="H200" s="24"/>
      <c r="I200" s="24"/>
    </row>
    <row r="201" spans="4:9">
      <c r="D201" s="24"/>
      <c r="E201" s="24"/>
      <c r="F201" s="24"/>
      <c r="G201" s="24"/>
      <c r="H201" s="24"/>
      <c r="I201" s="24"/>
    </row>
    <row r="202" spans="4:9">
      <c r="D202" s="24"/>
      <c r="E202" s="24"/>
      <c r="F202" s="24"/>
      <c r="G202" s="24"/>
      <c r="H202" s="24"/>
      <c r="I202" s="24"/>
    </row>
    <row r="203" spans="4:9">
      <c r="D203" s="24"/>
      <c r="E203" s="24"/>
      <c r="F203" s="24"/>
      <c r="G203" s="24"/>
      <c r="H203" s="24"/>
      <c r="I203" s="24"/>
    </row>
    <row r="204" spans="4:9">
      <c r="D204" s="24"/>
      <c r="E204" s="24"/>
      <c r="F204" s="24"/>
      <c r="G204" s="24"/>
      <c r="H204" s="24"/>
      <c r="I204" s="24"/>
    </row>
    <row r="205" spans="4:9">
      <c r="D205" s="24"/>
      <c r="E205" s="24"/>
      <c r="F205" s="24"/>
      <c r="G205" s="24"/>
      <c r="H205" s="24"/>
      <c r="I205" s="24"/>
    </row>
    <row r="206" spans="4:9">
      <c r="D206" s="24"/>
      <c r="E206" s="24"/>
      <c r="F206" s="24"/>
      <c r="G206" s="24"/>
      <c r="H206" s="24"/>
      <c r="I206" s="24"/>
    </row>
    <row r="207" spans="4:9">
      <c r="D207" s="24"/>
      <c r="E207" s="24"/>
      <c r="F207" s="24"/>
      <c r="G207" s="24"/>
      <c r="H207" s="24"/>
      <c r="I207" s="24"/>
    </row>
    <row r="208" spans="4:9">
      <c r="D208" s="24"/>
      <c r="E208" s="24"/>
      <c r="F208" s="24"/>
      <c r="G208" s="24"/>
      <c r="H208" s="24"/>
      <c r="I208" s="24"/>
    </row>
    <row r="209" spans="1:9">
      <c r="D209" s="24"/>
      <c r="E209" s="24"/>
      <c r="F209" s="24"/>
      <c r="G209" s="24"/>
      <c r="H209" s="24"/>
      <c r="I209" s="24"/>
    </row>
    <row r="210" spans="1:9">
      <c r="D210" s="24"/>
      <c r="E210" s="24"/>
      <c r="F210" s="24"/>
      <c r="G210" s="24"/>
      <c r="H210" s="24"/>
      <c r="I210" s="24"/>
    </row>
    <row r="211" spans="1:9">
      <c r="D211" s="24"/>
      <c r="E211" s="24"/>
      <c r="F211" s="24"/>
      <c r="G211" s="24"/>
      <c r="H211" s="24"/>
      <c r="I211" s="24"/>
    </row>
    <row r="212" spans="1:9">
      <c r="D212" s="24"/>
      <c r="E212" s="24"/>
      <c r="F212" s="24"/>
      <c r="G212" s="24"/>
      <c r="H212" s="24"/>
      <c r="I212" s="24"/>
    </row>
    <row r="213" spans="1:9">
      <c r="D213" s="24"/>
      <c r="E213" s="24"/>
      <c r="F213" s="24"/>
      <c r="G213" s="24"/>
      <c r="H213" s="24"/>
      <c r="I213" s="24"/>
    </row>
    <row r="214" spans="1:9">
      <c r="D214" s="24"/>
      <c r="E214" s="24"/>
      <c r="F214" s="24"/>
      <c r="G214" s="24"/>
      <c r="H214" s="24"/>
      <c r="I214" s="24"/>
    </row>
    <row r="215" spans="1:9">
      <c r="D215" s="24"/>
      <c r="G215" s="24"/>
      <c r="H215" s="24"/>
      <c r="I215" s="24"/>
    </row>
    <row r="216" spans="1:9">
      <c r="D216" s="24"/>
      <c r="G216" s="24"/>
      <c r="H216" s="24"/>
      <c r="I216" s="24"/>
    </row>
    <row r="217" spans="1:9">
      <c r="A217" s="27"/>
      <c r="B217" s="26"/>
      <c r="G217" s="24"/>
      <c r="H217" s="24"/>
      <c r="I217" s="24"/>
    </row>
    <row r="218" spans="1:9">
      <c r="C218" s="27"/>
      <c r="G218" s="24"/>
      <c r="H218" s="24"/>
      <c r="I218" s="24"/>
    </row>
    <row r="219" spans="1:9">
      <c r="G219" s="24"/>
      <c r="H219" s="24"/>
      <c r="I219" s="24"/>
    </row>
    <row r="220" spans="1:9">
      <c r="G220" s="24"/>
      <c r="H220" s="24"/>
      <c r="I220" s="24"/>
    </row>
    <row r="221" spans="1:9">
      <c r="G221" s="24"/>
      <c r="H221" s="24"/>
      <c r="I221" s="24"/>
    </row>
    <row r="222" spans="1:9">
      <c r="G222" s="24"/>
      <c r="H222" s="24"/>
      <c r="I222" s="24"/>
    </row>
    <row r="223" spans="1:9">
      <c r="G223" s="24"/>
      <c r="H223" s="24"/>
      <c r="I223" s="24"/>
    </row>
    <row r="224" spans="1:9">
      <c r="G224" s="24"/>
      <c r="H224" s="24"/>
      <c r="I224" s="24"/>
    </row>
    <row r="225" spans="7:9">
      <c r="G225" s="24"/>
      <c r="H225" s="24"/>
      <c r="I225" s="24"/>
    </row>
    <row r="226" spans="7:9">
      <c r="G226" s="24"/>
      <c r="H226" s="24"/>
      <c r="I226" s="24"/>
    </row>
    <row r="227" spans="7:9">
      <c r="G227" s="24"/>
      <c r="H227" s="24"/>
      <c r="I227" s="24"/>
    </row>
    <row r="228" spans="7:9">
      <c r="G228" s="24"/>
      <c r="H228" s="24"/>
      <c r="I228" s="24"/>
    </row>
    <row r="229" spans="7:9">
      <c r="G229" s="24"/>
      <c r="H229" s="24"/>
      <c r="I229" s="24"/>
    </row>
    <row r="230" spans="7:9">
      <c r="G230" s="24"/>
      <c r="H230" s="24"/>
      <c r="I230" s="24"/>
    </row>
    <row r="231" spans="7:9">
      <c r="G231" s="24"/>
      <c r="H231" s="24"/>
      <c r="I231" s="24"/>
    </row>
    <row r="232" spans="7:9">
      <c r="G232" s="24"/>
      <c r="H232" s="24"/>
      <c r="I232" s="24"/>
    </row>
    <row r="233" spans="7:9">
      <c r="G233" s="24"/>
      <c r="H233" s="24"/>
      <c r="I233" s="24"/>
    </row>
    <row r="234" spans="7:9">
      <c r="G234" s="24"/>
      <c r="H234" s="24"/>
      <c r="I234" s="24"/>
    </row>
    <row r="235" spans="7:9">
      <c r="G235" s="24"/>
      <c r="H235" s="24"/>
      <c r="I235" s="24"/>
    </row>
    <row r="236" spans="7:9">
      <c r="G236" s="24"/>
      <c r="H236" s="24"/>
      <c r="I236" s="24"/>
    </row>
    <row r="237" spans="7:9">
      <c r="G237" s="24"/>
      <c r="H237" s="24"/>
      <c r="I237" s="24"/>
    </row>
    <row r="238" spans="7:9">
      <c r="G238" s="24"/>
      <c r="H238" s="24"/>
      <c r="I238" s="24"/>
    </row>
    <row r="239" spans="7:9">
      <c r="G239" s="24"/>
      <c r="H239" s="24"/>
      <c r="I239" s="24"/>
    </row>
    <row r="240" spans="7:9">
      <c r="G240" s="24"/>
      <c r="H240" s="24"/>
      <c r="I240" s="24"/>
    </row>
    <row r="241" spans="1:9">
      <c r="G241" s="24"/>
      <c r="H241" s="24"/>
      <c r="I241" s="24"/>
    </row>
    <row r="242" spans="1:9">
      <c r="G242" s="24"/>
      <c r="H242" s="24"/>
      <c r="I242" s="24"/>
    </row>
    <row r="243" spans="1:9">
      <c r="G243" s="24"/>
      <c r="H243" s="24"/>
      <c r="I243" s="24"/>
    </row>
    <row r="244" spans="1:9">
      <c r="G244" s="24"/>
      <c r="H244" s="24"/>
      <c r="I244" s="24"/>
    </row>
    <row r="245" spans="1:9">
      <c r="A245" s="24"/>
      <c r="D245" s="24"/>
      <c r="E245" s="24"/>
      <c r="F245" s="24"/>
      <c r="G245" s="24"/>
      <c r="H245" s="24"/>
      <c r="I245" s="24"/>
    </row>
    <row r="246" spans="1:9">
      <c r="A246" s="24"/>
      <c r="D246" s="24"/>
      <c r="E246" s="24"/>
      <c r="F246" s="24"/>
      <c r="G246" s="24"/>
      <c r="H246" s="24"/>
      <c r="I246" s="24"/>
    </row>
    <row r="247" spans="1:9">
      <c r="A247" s="24"/>
      <c r="D247" s="24"/>
      <c r="E247" s="24"/>
      <c r="F247" s="24"/>
      <c r="G247" s="24"/>
      <c r="H247" s="24"/>
      <c r="I247" s="24"/>
    </row>
    <row r="248" spans="1:9">
      <c r="A248" s="24"/>
      <c r="D248" s="24"/>
      <c r="E248" s="24"/>
      <c r="F248" s="24"/>
      <c r="G248" s="24"/>
      <c r="H248" s="24"/>
      <c r="I248" s="24"/>
    </row>
    <row r="249" spans="1:9">
      <c r="E249" s="24"/>
      <c r="F249" s="24"/>
      <c r="G249" s="24"/>
      <c r="H249" s="24"/>
      <c r="I249" s="24"/>
    </row>
    <row r="250" spans="1:9">
      <c r="E250" s="24"/>
      <c r="F250" s="24"/>
      <c r="G250" s="24"/>
      <c r="H250" s="24"/>
      <c r="I250" s="24"/>
    </row>
    <row r="251" spans="1:9">
      <c r="E251" s="24"/>
      <c r="F251" s="24"/>
      <c r="G251" s="24"/>
      <c r="H251" s="24"/>
      <c r="I251" s="24"/>
    </row>
    <row r="252" spans="1:9">
      <c r="E252" s="24"/>
      <c r="F252" s="24"/>
      <c r="G252" s="24"/>
      <c r="H252" s="24"/>
      <c r="I252" s="24"/>
    </row>
    <row r="253" spans="1:9">
      <c r="E253" s="24"/>
      <c r="F253" s="24"/>
      <c r="G253" s="24"/>
      <c r="H253" s="24"/>
      <c r="I253" s="24"/>
    </row>
    <row r="254" spans="1:9">
      <c r="E254" s="24"/>
      <c r="F254" s="24"/>
      <c r="G254" s="24"/>
      <c r="H254" s="24"/>
      <c r="I254" s="24"/>
    </row>
    <row r="255" spans="1:9">
      <c r="A255" s="23" t="s">
        <v>1527</v>
      </c>
      <c r="D255" s="23" t="s">
        <v>1528</v>
      </c>
      <c r="E255" s="23" t="s">
        <v>148</v>
      </c>
      <c r="F255" s="23" t="s">
        <v>1529</v>
      </c>
      <c r="G255" s="24" t="s">
        <v>1530</v>
      </c>
      <c r="H255" s="24" t="s">
        <v>1531</v>
      </c>
      <c r="I255" s="24"/>
    </row>
    <row r="256" spans="1:9">
      <c r="G256" s="24" t="s">
        <v>1532</v>
      </c>
      <c r="H256" s="24"/>
      <c r="I256" s="24"/>
    </row>
    <row r="257" spans="1:9">
      <c r="B257" s="24" t="s">
        <v>1533</v>
      </c>
      <c r="C257" s="27" t="s">
        <v>1534</v>
      </c>
      <c r="G257" s="24"/>
      <c r="H257" s="24"/>
      <c r="I257" s="24"/>
    </row>
    <row r="258" spans="1:9">
      <c r="A258" s="23" t="s">
        <v>1535</v>
      </c>
      <c r="D258" s="23" t="s">
        <v>1536</v>
      </c>
      <c r="E258" s="23" t="s">
        <v>148</v>
      </c>
      <c r="F258" s="23" t="s">
        <v>1358</v>
      </c>
      <c r="G258" s="24" t="s">
        <v>1530</v>
      </c>
      <c r="H258" s="24" t="s">
        <v>1531</v>
      </c>
      <c r="I258" s="24"/>
    </row>
    <row r="259" spans="1:9">
      <c r="G259" s="24" t="s">
        <v>1532</v>
      </c>
      <c r="H259" s="24"/>
      <c r="I259" s="24"/>
    </row>
    <row r="260" spans="1:9">
      <c r="A260" s="23" t="s">
        <v>1537</v>
      </c>
      <c r="D260" s="23" t="s">
        <v>1538</v>
      </c>
      <c r="E260" s="23" t="s">
        <v>163</v>
      </c>
      <c r="F260" s="23" t="s">
        <v>499</v>
      </c>
      <c r="G260" s="24" t="s">
        <v>1539</v>
      </c>
      <c r="H260" s="24"/>
      <c r="I260" s="24"/>
    </row>
    <row r="261" spans="1:9">
      <c r="G261" s="24" t="s">
        <v>1540</v>
      </c>
      <c r="H261" s="24"/>
      <c r="I261" s="24"/>
    </row>
    <row r="262" spans="1:9">
      <c r="A262" s="23" t="s">
        <v>1541</v>
      </c>
      <c r="D262" s="23" t="s">
        <v>1542</v>
      </c>
      <c r="E262" s="23" t="s">
        <v>163</v>
      </c>
      <c r="F262" s="23" t="s">
        <v>500</v>
      </c>
      <c r="G262" s="24" t="s">
        <v>1539</v>
      </c>
      <c r="H262" s="24"/>
      <c r="I262" s="24"/>
    </row>
    <row r="263" spans="1:9">
      <c r="G263" s="24" t="s">
        <v>1540</v>
      </c>
      <c r="H263" s="24"/>
      <c r="I263" s="24"/>
    </row>
    <row r="264" spans="1:9">
      <c r="A264" s="23" t="s">
        <v>1543</v>
      </c>
      <c r="D264" s="23" t="s">
        <v>1544</v>
      </c>
      <c r="E264" s="23" t="s">
        <v>163</v>
      </c>
      <c r="F264" s="23" t="s">
        <v>224</v>
      </c>
      <c r="G264" s="24" t="s">
        <v>1539</v>
      </c>
      <c r="H264" s="24"/>
      <c r="I264" s="24"/>
    </row>
    <row r="265" spans="1:9">
      <c r="G265" s="24" t="s">
        <v>1540</v>
      </c>
      <c r="H265" s="24"/>
      <c r="I265" s="24"/>
    </row>
    <row r="266" spans="1:9">
      <c r="A266" s="23" t="s">
        <v>1545</v>
      </c>
      <c r="D266" s="23" t="s">
        <v>1546</v>
      </c>
      <c r="E266" s="23" t="s">
        <v>163</v>
      </c>
      <c r="F266" s="23" t="s">
        <v>225</v>
      </c>
      <c r="G266" s="24" t="s">
        <v>1539</v>
      </c>
      <c r="H266" s="24"/>
      <c r="I266" s="24"/>
    </row>
    <row r="267" spans="1:9">
      <c r="G267" s="24" t="s">
        <v>1540</v>
      </c>
      <c r="H267" s="24"/>
      <c r="I267" s="24"/>
    </row>
    <row r="268" spans="1:9">
      <c r="A268" s="23" t="s">
        <v>1547</v>
      </c>
      <c r="D268" s="23" t="s">
        <v>1548</v>
      </c>
      <c r="E268" s="23" t="s">
        <v>163</v>
      </c>
      <c r="F268" s="23" t="s">
        <v>226</v>
      </c>
      <c r="G268" s="24" t="s">
        <v>1539</v>
      </c>
      <c r="H268" s="24"/>
      <c r="I268" s="24"/>
    </row>
    <row r="269" spans="1:9">
      <c r="G269" s="24" t="s">
        <v>1540</v>
      </c>
      <c r="H269" s="24"/>
      <c r="I269" s="24"/>
    </row>
    <row r="270" spans="1:9">
      <c r="A270" s="23" t="s">
        <v>1549</v>
      </c>
      <c r="D270" s="23" t="s">
        <v>1550</v>
      </c>
      <c r="E270" s="23" t="s">
        <v>163</v>
      </c>
      <c r="F270" s="23" t="s">
        <v>227</v>
      </c>
      <c r="G270" s="24" t="s">
        <v>1539</v>
      </c>
      <c r="H270" s="24"/>
      <c r="I270" s="24"/>
    </row>
    <row r="271" spans="1:9">
      <c r="G271" s="24" t="s">
        <v>1540</v>
      </c>
      <c r="H271" s="24"/>
      <c r="I271" s="24"/>
    </row>
    <row r="272" spans="1:9">
      <c r="A272" s="24" t="s">
        <v>1551</v>
      </c>
      <c r="D272" s="23" t="s">
        <v>1552</v>
      </c>
      <c r="E272" s="23" t="s">
        <v>163</v>
      </c>
      <c r="F272" s="23" t="s">
        <v>228</v>
      </c>
      <c r="G272" s="24" t="s">
        <v>1539</v>
      </c>
      <c r="H272" s="24"/>
      <c r="I272" s="24"/>
    </row>
    <row r="273" spans="1:9">
      <c r="A273" s="24"/>
      <c r="G273" s="24" t="s">
        <v>1540</v>
      </c>
      <c r="H273" s="24"/>
      <c r="I273" s="24"/>
    </row>
    <row r="274" spans="1:9">
      <c r="A274" s="24" t="s">
        <v>1553</v>
      </c>
      <c r="D274" s="23" t="s">
        <v>1554</v>
      </c>
      <c r="E274" s="23" t="s">
        <v>163</v>
      </c>
      <c r="F274" s="23" t="s">
        <v>229</v>
      </c>
      <c r="G274" s="24" t="s">
        <v>1539</v>
      </c>
      <c r="H274" s="24"/>
      <c r="I274" s="24"/>
    </row>
    <row r="275" spans="1:9">
      <c r="A275" s="24"/>
      <c r="G275" s="24" t="s">
        <v>1540</v>
      </c>
      <c r="H275" s="24"/>
      <c r="I275" s="24"/>
    </row>
    <row r="276" spans="1:9">
      <c r="A276" s="23" t="s">
        <v>1555</v>
      </c>
      <c r="D276" s="23" t="s">
        <v>1556</v>
      </c>
      <c r="E276" s="23" t="s">
        <v>163</v>
      </c>
      <c r="F276" s="23" t="s">
        <v>1365</v>
      </c>
      <c r="G276" s="24" t="s">
        <v>1539</v>
      </c>
      <c r="H276" s="24"/>
      <c r="I276" s="24"/>
    </row>
    <row r="277" spans="1:9">
      <c r="G277" s="24" t="s">
        <v>1540</v>
      </c>
      <c r="H277" s="24"/>
      <c r="I277" s="24"/>
    </row>
    <row r="278" spans="1:9">
      <c r="A278" s="23" t="s">
        <v>1557</v>
      </c>
      <c r="D278" s="23" t="s">
        <v>1558</v>
      </c>
      <c r="E278" s="23" t="s">
        <v>163</v>
      </c>
      <c r="F278" s="23" t="s">
        <v>1367</v>
      </c>
      <c r="G278" s="24" t="s">
        <v>1539</v>
      </c>
      <c r="H278" s="24"/>
      <c r="I278" s="24"/>
    </row>
    <row r="279" spans="1:9">
      <c r="G279" s="24" t="s">
        <v>1540</v>
      </c>
      <c r="H279" s="24"/>
      <c r="I279" s="24"/>
    </row>
    <row r="280" spans="1:9">
      <c r="A280" s="23" t="s">
        <v>1559</v>
      </c>
      <c r="D280" s="23" t="s">
        <v>1560</v>
      </c>
      <c r="E280" s="23" t="s">
        <v>163</v>
      </c>
      <c r="F280" s="23" t="s">
        <v>230</v>
      </c>
      <c r="G280" s="24" t="s">
        <v>1539</v>
      </c>
      <c r="H280" s="24"/>
      <c r="I280" s="24"/>
    </row>
    <row r="281" spans="1:9">
      <c r="G281" s="24" t="s">
        <v>1540</v>
      </c>
      <c r="H281" s="24"/>
      <c r="I281" s="24"/>
    </row>
    <row r="282" spans="1:9">
      <c r="A282" s="23" t="s">
        <v>1561</v>
      </c>
      <c r="D282" s="23" t="s">
        <v>1562</v>
      </c>
      <c r="E282" s="23" t="s">
        <v>163</v>
      </c>
      <c r="F282" s="23" t="s">
        <v>231</v>
      </c>
      <c r="G282" s="24" t="s">
        <v>1539</v>
      </c>
      <c r="H282" s="24"/>
      <c r="I282" s="24"/>
    </row>
    <row r="283" spans="1:9">
      <c r="G283" s="24" t="s">
        <v>1540</v>
      </c>
      <c r="H283" s="24"/>
      <c r="I283" s="24"/>
    </row>
    <row r="284" spans="1:9">
      <c r="A284" s="23" t="s">
        <v>1563</v>
      </c>
      <c r="D284" s="24" t="s">
        <v>1564</v>
      </c>
      <c r="E284" s="24" t="s">
        <v>148</v>
      </c>
      <c r="F284" s="24" t="s">
        <v>1438</v>
      </c>
      <c r="G284" s="24" t="s">
        <v>1565</v>
      </c>
      <c r="H284" s="24"/>
      <c r="I284" s="24"/>
    </row>
    <row r="285" spans="1:9" ht="39.6">
      <c r="D285" s="24"/>
      <c r="E285" s="24"/>
      <c r="F285" s="24"/>
      <c r="G285" s="24" t="s">
        <v>1566</v>
      </c>
      <c r="H285" s="24"/>
      <c r="I285" s="24"/>
    </row>
    <row r="286" spans="1:9">
      <c r="A286" s="23" t="s">
        <v>1567</v>
      </c>
      <c r="D286" s="24" t="s">
        <v>1568</v>
      </c>
      <c r="E286" s="24" t="s">
        <v>148</v>
      </c>
      <c r="F286" s="24" t="s">
        <v>1438</v>
      </c>
      <c r="G286" s="24" t="s">
        <v>1565</v>
      </c>
      <c r="H286" s="24"/>
      <c r="I286" s="24"/>
    </row>
    <row r="287" spans="1:9" ht="39.6">
      <c r="D287" s="24"/>
      <c r="E287" s="24"/>
      <c r="F287" s="24"/>
      <c r="G287" s="24" t="s">
        <v>1566</v>
      </c>
      <c r="H287" s="24"/>
      <c r="I287" s="24"/>
    </row>
    <row r="288" spans="1:9">
      <c r="A288" s="23" t="s">
        <v>1569</v>
      </c>
      <c r="D288" s="23" t="s">
        <v>1570</v>
      </c>
      <c r="E288" s="24" t="s">
        <v>148</v>
      </c>
      <c r="F288" s="24" t="s">
        <v>1571</v>
      </c>
      <c r="G288" s="24" t="s">
        <v>1572</v>
      </c>
      <c r="H288" s="24"/>
      <c r="I288" s="24"/>
    </row>
    <row r="289" spans="1:9" ht="26.4">
      <c r="E289" s="24"/>
      <c r="F289" s="24"/>
      <c r="G289" s="24" t="s">
        <v>1573</v>
      </c>
      <c r="H289" s="24"/>
      <c r="I289" s="24"/>
    </row>
    <row r="290" spans="1:9">
      <c r="E290" s="24"/>
      <c r="F290" s="24"/>
      <c r="G290" s="24"/>
      <c r="H290" s="24"/>
      <c r="I290" s="24"/>
    </row>
    <row r="291" spans="1:9">
      <c r="E291" s="24"/>
      <c r="F291" s="24"/>
      <c r="G291" s="24"/>
      <c r="H291" s="24"/>
      <c r="I291" s="24"/>
    </row>
    <row r="292" spans="1:9">
      <c r="E292" s="24"/>
      <c r="F292" s="24"/>
      <c r="G292" s="24"/>
      <c r="H292" s="24"/>
      <c r="I292" s="24"/>
    </row>
    <row r="293" spans="1:9">
      <c r="E293" s="24"/>
      <c r="F293" s="24"/>
      <c r="G293" s="24"/>
      <c r="H293" s="24"/>
      <c r="I293" s="24"/>
    </row>
    <row r="294" spans="1:9">
      <c r="A294" s="23" t="s">
        <v>1574</v>
      </c>
      <c r="D294" s="23" t="s">
        <v>1575</v>
      </c>
      <c r="E294" s="23" t="s">
        <v>148</v>
      </c>
      <c r="F294" s="23" t="s">
        <v>1529</v>
      </c>
      <c r="G294" s="24" t="s">
        <v>1530</v>
      </c>
      <c r="H294" s="24" t="s">
        <v>1576</v>
      </c>
      <c r="I294" s="24"/>
    </row>
    <row r="295" spans="1:9">
      <c r="G295" s="24" t="s">
        <v>1532</v>
      </c>
      <c r="H295" s="24"/>
      <c r="I295" s="24"/>
    </row>
    <row r="296" spans="1:9">
      <c r="B296" s="24" t="s">
        <v>1577</v>
      </c>
      <c r="C296" s="27" t="s">
        <v>1578</v>
      </c>
      <c r="G296" s="24"/>
      <c r="H296" s="24"/>
      <c r="I296" s="24"/>
    </row>
    <row r="297" spans="1:9">
      <c r="A297" s="23" t="s">
        <v>1579</v>
      </c>
      <c r="D297" s="23" t="s">
        <v>1580</v>
      </c>
      <c r="E297" s="23" t="s">
        <v>148</v>
      </c>
      <c r="F297" s="23" t="s">
        <v>1358</v>
      </c>
      <c r="G297" s="24" t="s">
        <v>1530</v>
      </c>
      <c r="H297" s="24" t="s">
        <v>1576</v>
      </c>
      <c r="I297" s="24"/>
    </row>
    <row r="298" spans="1:9">
      <c r="G298" s="24" t="s">
        <v>1532</v>
      </c>
      <c r="H298" s="24"/>
      <c r="I298" s="24"/>
    </row>
    <row r="299" spans="1:9">
      <c r="A299" s="23" t="s">
        <v>1581</v>
      </c>
      <c r="D299" s="23" t="s">
        <v>1582</v>
      </c>
      <c r="E299" s="23" t="s">
        <v>163</v>
      </c>
      <c r="F299" s="23" t="s">
        <v>499</v>
      </c>
      <c r="G299" s="24" t="s">
        <v>1539</v>
      </c>
      <c r="H299" s="24"/>
      <c r="I299" s="24"/>
    </row>
    <row r="300" spans="1:9">
      <c r="G300" s="24" t="s">
        <v>1540</v>
      </c>
      <c r="H300" s="24"/>
      <c r="I300" s="24"/>
    </row>
    <row r="301" spans="1:9">
      <c r="A301" s="23" t="s">
        <v>1583</v>
      </c>
      <c r="D301" s="23" t="s">
        <v>1584</v>
      </c>
      <c r="E301" s="23" t="s">
        <v>163</v>
      </c>
      <c r="F301" s="23" t="s">
        <v>500</v>
      </c>
      <c r="G301" s="24" t="s">
        <v>1539</v>
      </c>
      <c r="H301" s="24"/>
      <c r="I301" s="24"/>
    </row>
    <row r="302" spans="1:9">
      <c r="G302" s="24" t="s">
        <v>1540</v>
      </c>
      <c r="H302" s="24"/>
      <c r="I302" s="24"/>
    </row>
    <row r="303" spans="1:9">
      <c r="A303" s="23" t="s">
        <v>1585</v>
      </c>
      <c r="D303" s="23" t="s">
        <v>1586</v>
      </c>
      <c r="E303" s="23" t="s">
        <v>163</v>
      </c>
      <c r="F303" s="23" t="s">
        <v>224</v>
      </c>
      <c r="G303" s="24" t="s">
        <v>1539</v>
      </c>
      <c r="H303" s="24"/>
      <c r="I303" s="24"/>
    </row>
    <row r="304" spans="1:9">
      <c r="G304" s="24" t="s">
        <v>1540</v>
      </c>
      <c r="H304" s="24"/>
      <c r="I304" s="24"/>
    </row>
    <row r="305" spans="1:9">
      <c r="A305" s="23" t="s">
        <v>1587</v>
      </c>
      <c r="D305" s="23" t="s">
        <v>1588</v>
      </c>
      <c r="E305" s="23" t="s">
        <v>163</v>
      </c>
      <c r="F305" s="23" t="s">
        <v>225</v>
      </c>
      <c r="G305" s="24" t="s">
        <v>1539</v>
      </c>
      <c r="H305" s="24"/>
      <c r="I305" s="24"/>
    </row>
    <row r="306" spans="1:9">
      <c r="G306" s="24" t="s">
        <v>1540</v>
      </c>
      <c r="H306" s="24"/>
      <c r="I306" s="24"/>
    </row>
    <row r="307" spans="1:9">
      <c r="A307" s="23" t="s">
        <v>1589</v>
      </c>
      <c r="D307" s="23" t="s">
        <v>1590</v>
      </c>
      <c r="E307" s="23" t="s">
        <v>163</v>
      </c>
      <c r="F307" s="23" t="s">
        <v>226</v>
      </c>
      <c r="G307" s="24" t="s">
        <v>1539</v>
      </c>
      <c r="H307" s="24"/>
      <c r="I307" s="24"/>
    </row>
    <row r="308" spans="1:9">
      <c r="G308" s="24" t="s">
        <v>1540</v>
      </c>
      <c r="H308" s="24"/>
      <c r="I308" s="24"/>
    </row>
    <row r="309" spans="1:9">
      <c r="A309" s="23" t="s">
        <v>1591</v>
      </c>
      <c r="D309" s="23" t="s">
        <v>1592</v>
      </c>
      <c r="E309" s="23" t="s">
        <v>163</v>
      </c>
      <c r="F309" s="23" t="s">
        <v>227</v>
      </c>
      <c r="G309" s="24" t="s">
        <v>1539</v>
      </c>
      <c r="H309" s="24"/>
      <c r="I309" s="24"/>
    </row>
    <row r="310" spans="1:9">
      <c r="G310" s="24" t="s">
        <v>1540</v>
      </c>
      <c r="H310" s="24"/>
      <c r="I310" s="24"/>
    </row>
    <row r="311" spans="1:9">
      <c r="A311" s="23" t="s">
        <v>1593</v>
      </c>
      <c r="D311" s="23" t="s">
        <v>1594</v>
      </c>
      <c r="E311" s="23" t="s">
        <v>163</v>
      </c>
      <c r="F311" s="23" t="s">
        <v>228</v>
      </c>
      <c r="G311" s="24" t="s">
        <v>1539</v>
      </c>
      <c r="H311" s="24"/>
      <c r="I311" s="24"/>
    </row>
    <row r="312" spans="1:9">
      <c r="G312" s="24" t="s">
        <v>1540</v>
      </c>
      <c r="H312" s="24"/>
      <c r="I312" s="24"/>
    </row>
    <row r="313" spans="1:9">
      <c r="A313" s="23" t="s">
        <v>1595</v>
      </c>
      <c r="D313" s="23" t="s">
        <v>1596</v>
      </c>
      <c r="E313" s="23" t="s">
        <v>163</v>
      </c>
      <c r="F313" s="23" t="s">
        <v>229</v>
      </c>
      <c r="G313" s="24" t="s">
        <v>1539</v>
      </c>
      <c r="H313" s="24"/>
      <c r="I313" s="24"/>
    </row>
    <row r="314" spans="1:9">
      <c r="G314" s="24" t="s">
        <v>1540</v>
      </c>
      <c r="H314" s="24"/>
      <c r="I314" s="24"/>
    </row>
    <row r="315" spans="1:9">
      <c r="A315" s="23" t="s">
        <v>1597</v>
      </c>
      <c r="D315" s="23" t="s">
        <v>1598</v>
      </c>
      <c r="E315" s="23" t="s">
        <v>163</v>
      </c>
      <c r="F315" s="23" t="s">
        <v>1365</v>
      </c>
      <c r="G315" s="24" t="s">
        <v>1539</v>
      </c>
      <c r="H315" s="24"/>
      <c r="I315" s="24"/>
    </row>
    <row r="316" spans="1:9">
      <c r="G316" s="24" t="s">
        <v>1540</v>
      </c>
      <c r="H316" s="24"/>
      <c r="I316" s="24"/>
    </row>
    <row r="317" spans="1:9">
      <c r="A317" s="23" t="s">
        <v>1599</v>
      </c>
      <c r="D317" s="23" t="s">
        <v>1600</v>
      </c>
      <c r="E317" s="23" t="s">
        <v>163</v>
      </c>
      <c r="F317" s="23" t="s">
        <v>1367</v>
      </c>
      <c r="G317" s="24" t="s">
        <v>1539</v>
      </c>
      <c r="H317" s="24"/>
      <c r="I317" s="24"/>
    </row>
    <row r="318" spans="1:9">
      <c r="G318" s="24" t="s">
        <v>1540</v>
      </c>
      <c r="H318" s="24"/>
      <c r="I318" s="24"/>
    </row>
    <row r="319" spans="1:9">
      <c r="A319" s="23" t="s">
        <v>1601</v>
      </c>
      <c r="D319" s="23" t="s">
        <v>1602</v>
      </c>
      <c r="E319" s="23" t="s">
        <v>163</v>
      </c>
      <c r="F319" s="23" t="s">
        <v>230</v>
      </c>
      <c r="G319" s="24" t="s">
        <v>1539</v>
      </c>
      <c r="H319" s="24"/>
      <c r="I319" s="24"/>
    </row>
    <row r="320" spans="1:9">
      <c r="G320" s="24" t="s">
        <v>1540</v>
      </c>
      <c r="H320" s="24"/>
      <c r="I320" s="24"/>
    </row>
    <row r="321" spans="1:9">
      <c r="A321" s="23" t="s">
        <v>1603</v>
      </c>
      <c r="D321" s="23" t="s">
        <v>1604</v>
      </c>
      <c r="E321" s="23" t="s">
        <v>163</v>
      </c>
      <c r="F321" s="23" t="s">
        <v>231</v>
      </c>
      <c r="G321" s="24" t="s">
        <v>1539</v>
      </c>
      <c r="H321" s="24"/>
      <c r="I321" s="24"/>
    </row>
    <row r="322" spans="1:9">
      <c r="G322" s="24" t="s">
        <v>1540</v>
      </c>
      <c r="H322" s="24"/>
      <c r="I322" s="24"/>
    </row>
    <row r="323" spans="1:9">
      <c r="A323" s="24" t="s">
        <v>1605</v>
      </c>
      <c r="D323" s="24" t="s">
        <v>1606</v>
      </c>
      <c r="E323" s="24" t="s">
        <v>148</v>
      </c>
      <c r="F323" s="24" t="s">
        <v>1438</v>
      </c>
      <c r="G323" s="24" t="s">
        <v>1565</v>
      </c>
      <c r="H323" s="24"/>
      <c r="I323" s="24"/>
    </row>
    <row r="324" spans="1:9" ht="39.6">
      <c r="A324" s="24"/>
      <c r="D324" s="24"/>
      <c r="E324" s="24"/>
      <c r="F324" s="24"/>
      <c r="G324" s="24" t="s">
        <v>1566</v>
      </c>
      <c r="H324" s="24"/>
      <c r="I324" s="24"/>
    </row>
    <row r="325" spans="1:9">
      <c r="A325" s="24" t="s">
        <v>1607</v>
      </c>
      <c r="D325" s="24" t="s">
        <v>1608</v>
      </c>
      <c r="E325" s="24" t="s">
        <v>148</v>
      </c>
      <c r="F325" s="24" t="s">
        <v>1438</v>
      </c>
      <c r="G325" s="24" t="s">
        <v>1565</v>
      </c>
      <c r="H325" s="24"/>
      <c r="I325" s="24"/>
    </row>
    <row r="326" spans="1:9" ht="39.6">
      <c r="A326" s="24"/>
      <c r="D326" s="24"/>
      <c r="E326" s="24"/>
      <c r="F326" s="24"/>
      <c r="G326" s="24" t="s">
        <v>1566</v>
      </c>
      <c r="H326" s="24"/>
      <c r="I326" s="24"/>
    </row>
    <row r="327" spans="1:9">
      <c r="A327" s="23" t="s">
        <v>1609</v>
      </c>
      <c r="D327" s="23" t="s">
        <v>1610</v>
      </c>
      <c r="E327" s="24" t="s">
        <v>148</v>
      </c>
      <c r="F327" s="24" t="s">
        <v>1571</v>
      </c>
      <c r="G327" s="24" t="s">
        <v>1572</v>
      </c>
      <c r="H327" s="24"/>
      <c r="I327" s="24"/>
    </row>
    <row r="328" spans="1:9" ht="26.4">
      <c r="E328" s="24"/>
      <c r="F328" s="24"/>
      <c r="G328" s="24" t="s">
        <v>1573</v>
      </c>
      <c r="H328" s="24"/>
      <c r="I328" s="24"/>
    </row>
    <row r="329" spans="1:9">
      <c r="E329" s="24"/>
      <c r="F329" s="24"/>
      <c r="G329" s="24"/>
      <c r="H329" s="24"/>
      <c r="I329" s="24"/>
    </row>
    <row r="330" spans="1:9">
      <c r="E330" s="24"/>
      <c r="F330" s="24"/>
      <c r="G330" s="24"/>
      <c r="H330" s="24"/>
      <c r="I330" s="24"/>
    </row>
    <row r="331" spans="1:9">
      <c r="E331" s="24"/>
      <c r="F331" s="24"/>
      <c r="G331" s="24"/>
      <c r="H331" s="24"/>
      <c r="I331" s="24"/>
    </row>
    <row r="332" spans="1:9">
      <c r="E332" s="24"/>
      <c r="F332" s="24"/>
      <c r="G332" s="24"/>
      <c r="H332" s="24"/>
      <c r="I332" s="24"/>
    </row>
    <row r="333" spans="1:9">
      <c r="A333" s="23" t="s">
        <v>1611</v>
      </c>
      <c r="C333" s="24"/>
      <c r="D333" s="24" t="s">
        <v>1612</v>
      </c>
      <c r="E333" s="23" t="s">
        <v>148</v>
      </c>
      <c r="F333" s="23" t="s">
        <v>1529</v>
      </c>
      <c r="G333" s="24" t="s">
        <v>1530</v>
      </c>
      <c r="H333" s="24" t="s">
        <v>1576</v>
      </c>
      <c r="I333" s="24"/>
    </row>
    <row r="334" spans="1:9">
      <c r="C334" s="24"/>
      <c r="D334" s="24"/>
      <c r="G334" s="24" t="s">
        <v>1532</v>
      </c>
      <c r="H334" s="24"/>
      <c r="I334" s="24"/>
    </row>
    <row r="335" spans="1:9">
      <c r="A335" s="27" t="s">
        <v>1613</v>
      </c>
      <c r="B335" s="26" t="s">
        <v>1614</v>
      </c>
      <c r="G335" s="24"/>
      <c r="H335" s="24"/>
      <c r="I335" s="24"/>
    </row>
    <row r="336" spans="1:9">
      <c r="B336" s="24" t="s">
        <v>1615</v>
      </c>
      <c r="C336" s="23" t="s">
        <v>1616</v>
      </c>
      <c r="G336" s="24"/>
      <c r="H336" s="24"/>
      <c r="I336" s="24"/>
    </row>
    <row r="337" spans="1:9">
      <c r="A337" s="23" t="s">
        <v>1617</v>
      </c>
      <c r="D337" s="23" t="s">
        <v>1618</v>
      </c>
      <c r="E337" s="23" t="s">
        <v>145</v>
      </c>
      <c r="F337" s="23" t="s">
        <v>146</v>
      </c>
      <c r="G337" s="24" t="s">
        <v>1619</v>
      </c>
      <c r="H337" s="24"/>
      <c r="I337" s="24"/>
    </row>
    <row r="338" spans="1:9" ht="26.4">
      <c r="G338" s="24" t="s">
        <v>1620</v>
      </c>
      <c r="H338" s="24"/>
      <c r="I338" s="24"/>
    </row>
    <row r="339" spans="1:9">
      <c r="A339" s="23" t="s">
        <v>1621</v>
      </c>
      <c r="D339" s="23" t="s">
        <v>1622</v>
      </c>
      <c r="E339" s="23" t="s">
        <v>148</v>
      </c>
      <c r="F339" s="23" t="s">
        <v>502</v>
      </c>
      <c r="G339" s="24" t="s">
        <v>1623</v>
      </c>
      <c r="H339" s="24" t="s">
        <v>1576</v>
      </c>
      <c r="I339" s="24"/>
    </row>
    <row r="340" spans="1:9" ht="39.6">
      <c r="G340" s="24" t="s">
        <v>1624</v>
      </c>
      <c r="H340" s="24"/>
      <c r="I340" s="24"/>
    </row>
    <row r="341" spans="1:9">
      <c r="A341" s="23" t="s">
        <v>1625</v>
      </c>
      <c r="D341" s="23" t="s">
        <v>1626</v>
      </c>
      <c r="E341" s="23" t="s">
        <v>151</v>
      </c>
      <c r="F341" s="23" t="s">
        <v>503</v>
      </c>
      <c r="G341" s="24" t="s">
        <v>1627</v>
      </c>
      <c r="H341" s="24" t="s">
        <v>1576</v>
      </c>
      <c r="I341" s="24"/>
    </row>
    <row r="342" spans="1:9" ht="39.6">
      <c r="G342" s="24" t="s">
        <v>1628</v>
      </c>
      <c r="H342" s="24"/>
      <c r="I342" s="24"/>
    </row>
    <row r="343" spans="1:9" ht="26.4">
      <c r="A343" s="23" t="s">
        <v>1629</v>
      </c>
      <c r="D343" s="23" t="s">
        <v>1630</v>
      </c>
      <c r="E343" s="23" t="s">
        <v>148</v>
      </c>
      <c r="F343" s="23" t="s">
        <v>154</v>
      </c>
      <c r="G343" s="24" t="s">
        <v>1631</v>
      </c>
      <c r="H343" s="24"/>
      <c r="I343" s="24"/>
    </row>
    <row r="344" spans="1:9">
      <c r="A344" s="23" t="s">
        <v>1632</v>
      </c>
      <c r="D344" s="23" t="s">
        <v>1633</v>
      </c>
      <c r="E344" s="23" t="s">
        <v>151</v>
      </c>
      <c r="F344" s="23" t="s">
        <v>1401</v>
      </c>
      <c r="G344" s="24" t="s">
        <v>1627</v>
      </c>
      <c r="H344" s="24" t="s">
        <v>1576</v>
      </c>
      <c r="I344" s="24"/>
    </row>
    <row r="345" spans="1:9" ht="39.6">
      <c r="G345" s="24" t="s">
        <v>1628</v>
      </c>
      <c r="H345" s="24"/>
      <c r="I345" s="24"/>
    </row>
    <row r="346" spans="1:9">
      <c r="A346" s="23" t="s">
        <v>1634</v>
      </c>
      <c r="D346" s="23" t="s">
        <v>1635</v>
      </c>
      <c r="E346" s="23" t="s">
        <v>145</v>
      </c>
      <c r="F346" s="23" t="s">
        <v>1402</v>
      </c>
      <c r="G346" s="24" t="s">
        <v>1636</v>
      </c>
      <c r="H346" s="24"/>
      <c r="I346" s="24"/>
    </row>
    <row r="347" spans="1:9" ht="26.4">
      <c r="G347" s="24" t="s">
        <v>1637</v>
      </c>
      <c r="H347" s="24"/>
      <c r="I347" s="24"/>
    </row>
    <row r="348" spans="1:9">
      <c r="A348" s="23" t="s">
        <v>1638</v>
      </c>
      <c r="D348" s="23" t="s">
        <v>1639</v>
      </c>
      <c r="E348" s="23" t="s">
        <v>151</v>
      </c>
      <c r="F348" s="23" t="s">
        <v>158</v>
      </c>
      <c r="G348" s="24" t="s">
        <v>1627</v>
      </c>
      <c r="H348" s="24"/>
      <c r="I348" s="24"/>
    </row>
    <row r="349" spans="1:9" ht="39.6">
      <c r="G349" s="24" t="s">
        <v>1628</v>
      </c>
      <c r="H349" s="24" t="s">
        <v>1576</v>
      </c>
      <c r="I349" s="24"/>
    </row>
    <row r="350" spans="1:9">
      <c r="A350" s="23" t="s">
        <v>1640</v>
      </c>
      <c r="D350" s="23" t="s">
        <v>1641</v>
      </c>
      <c r="E350" s="23" t="s">
        <v>151</v>
      </c>
      <c r="F350" s="23" t="s">
        <v>159</v>
      </c>
      <c r="G350" s="24" t="s">
        <v>1627</v>
      </c>
      <c r="H350" s="24"/>
      <c r="I350" s="24"/>
    </row>
    <row r="351" spans="1:9" ht="39.6">
      <c r="G351" s="24" t="s">
        <v>1628</v>
      </c>
      <c r="H351" s="24" t="s">
        <v>1576</v>
      </c>
      <c r="I351" s="24"/>
    </row>
    <row r="352" spans="1:9">
      <c r="A352" s="23" t="s">
        <v>1642</v>
      </c>
      <c r="D352" s="23" t="s">
        <v>1643</v>
      </c>
      <c r="E352" s="23" t="s">
        <v>151</v>
      </c>
      <c r="F352" s="23" t="s">
        <v>160</v>
      </c>
      <c r="G352" s="24" t="s">
        <v>1627</v>
      </c>
      <c r="H352" s="24"/>
      <c r="I352" s="24"/>
    </row>
    <row r="353" spans="1:9" ht="39.6">
      <c r="G353" s="24" t="s">
        <v>1628</v>
      </c>
      <c r="H353" s="24" t="s">
        <v>1576</v>
      </c>
      <c r="I353" s="24"/>
    </row>
    <row r="354" spans="1:9">
      <c r="A354" s="23" t="s">
        <v>1644</v>
      </c>
      <c r="D354" s="23" t="s">
        <v>1645</v>
      </c>
      <c r="E354" s="23" t="s">
        <v>151</v>
      </c>
      <c r="F354" s="23" t="s">
        <v>161</v>
      </c>
      <c r="G354" s="24" t="s">
        <v>1623</v>
      </c>
      <c r="H354" s="24"/>
      <c r="I354" s="24"/>
    </row>
    <row r="355" spans="1:9" ht="39.6">
      <c r="G355" s="24" t="s">
        <v>1624</v>
      </c>
      <c r="H355" s="24" t="s">
        <v>1576</v>
      </c>
      <c r="I355" s="24"/>
    </row>
    <row r="356" spans="1:9">
      <c r="A356" s="23" t="s">
        <v>1646</v>
      </c>
      <c r="D356" s="23" t="s">
        <v>1647</v>
      </c>
      <c r="E356" s="23" t="s">
        <v>151</v>
      </c>
      <c r="F356" s="23" t="s">
        <v>162</v>
      </c>
      <c r="G356" s="24" t="s">
        <v>1623</v>
      </c>
      <c r="H356" s="24"/>
      <c r="I356" s="24"/>
    </row>
    <row r="357" spans="1:9" ht="39.6">
      <c r="G357" s="24" t="s">
        <v>1624</v>
      </c>
      <c r="H357" s="24" t="s">
        <v>1576</v>
      </c>
      <c r="I357" s="24"/>
    </row>
    <row r="358" spans="1:9">
      <c r="A358" s="23" t="s">
        <v>1648</v>
      </c>
      <c r="D358" s="23" t="s">
        <v>1649</v>
      </c>
      <c r="E358" s="23" t="s">
        <v>163</v>
      </c>
      <c r="F358" s="23" t="s">
        <v>164</v>
      </c>
      <c r="G358" s="24" t="s">
        <v>1650</v>
      </c>
      <c r="H358" s="24"/>
      <c r="I358" s="24"/>
    </row>
    <row r="359" spans="1:9">
      <c r="G359" s="24" t="s">
        <v>1651</v>
      </c>
      <c r="H359" s="24"/>
      <c r="I359" s="24"/>
    </row>
    <row r="360" spans="1:9">
      <c r="G360" s="24" t="s">
        <v>1652</v>
      </c>
      <c r="H360" s="24"/>
      <c r="I360" s="24"/>
    </row>
    <row r="361" spans="1:9">
      <c r="G361" s="24" t="s">
        <v>1653</v>
      </c>
      <c r="H361" s="24"/>
      <c r="I361" s="24"/>
    </row>
    <row r="362" spans="1:9">
      <c r="A362" s="24" t="s">
        <v>1654</v>
      </c>
      <c r="C362" s="24"/>
      <c r="D362" s="24" t="s">
        <v>1655</v>
      </c>
      <c r="E362" s="24" t="s">
        <v>163</v>
      </c>
      <c r="F362" s="24" t="s">
        <v>187</v>
      </c>
      <c r="G362" s="24" t="s">
        <v>1656</v>
      </c>
      <c r="H362" s="24"/>
      <c r="I362" s="24"/>
    </row>
    <row r="363" spans="1:9">
      <c r="A363" s="24"/>
      <c r="C363" s="24"/>
      <c r="D363" s="24"/>
      <c r="E363" s="24"/>
      <c r="F363" s="24"/>
      <c r="G363" s="24" t="s">
        <v>1657</v>
      </c>
      <c r="H363" s="24"/>
      <c r="I363" s="24"/>
    </row>
    <row r="364" spans="1:9">
      <c r="A364" s="23" t="s">
        <v>1658</v>
      </c>
      <c r="D364" s="24" t="s">
        <v>1659</v>
      </c>
      <c r="E364" s="23" t="s">
        <v>163</v>
      </c>
      <c r="F364" s="23" t="s">
        <v>168</v>
      </c>
      <c r="G364" s="24" t="s">
        <v>1650</v>
      </c>
      <c r="H364" s="24"/>
      <c r="I364" s="24"/>
    </row>
    <row r="365" spans="1:9">
      <c r="D365" s="24"/>
      <c r="G365" s="24" t="s">
        <v>1651</v>
      </c>
      <c r="H365" s="24"/>
      <c r="I365" s="24"/>
    </row>
    <row r="366" spans="1:9">
      <c r="D366" s="24"/>
      <c r="G366" s="24" t="s">
        <v>1652</v>
      </c>
      <c r="H366" s="24"/>
      <c r="I366" s="24"/>
    </row>
    <row r="367" spans="1:9">
      <c r="A367" s="27" t="s">
        <v>1660</v>
      </c>
      <c r="B367" s="26" t="s">
        <v>1661</v>
      </c>
      <c r="C367" s="27"/>
      <c r="G367" s="24"/>
      <c r="H367" s="24"/>
      <c r="I367" s="24"/>
    </row>
    <row r="368" spans="1:9">
      <c r="B368" s="24" t="s">
        <v>1615</v>
      </c>
      <c r="C368" s="27" t="s">
        <v>1662</v>
      </c>
      <c r="G368" s="24"/>
      <c r="H368" s="24"/>
      <c r="I368" s="24"/>
    </row>
    <row r="369" spans="1:9" ht="52.8">
      <c r="A369" s="23" t="s">
        <v>1663</v>
      </c>
      <c r="C369" s="23" t="s">
        <v>1664</v>
      </c>
      <c r="D369" s="23" t="s">
        <v>1655</v>
      </c>
      <c r="E369" s="23" t="s">
        <v>163</v>
      </c>
      <c r="F369" s="23" t="s">
        <v>184</v>
      </c>
      <c r="G369" s="24" t="s">
        <v>1665</v>
      </c>
      <c r="H369" s="24"/>
      <c r="I369" s="24"/>
    </row>
    <row r="370" spans="1:9">
      <c r="A370" s="24" t="s">
        <v>1666</v>
      </c>
      <c r="C370" s="24"/>
      <c r="D370" s="24" t="s">
        <v>1667</v>
      </c>
      <c r="E370" s="24" t="s">
        <v>151</v>
      </c>
      <c r="F370" s="24" t="s">
        <v>186</v>
      </c>
      <c r="G370" s="24" t="s">
        <v>1668</v>
      </c>
      <c r="H370" s="24" t="s">
        <v>1576</v>
      </c>
      <c r="I370" s="24"/>
    </row>
    <row r="371" spans="1:9" ht="39.6">
      <c r="A371" s="24"/>
      <c r="C371" s="24"/>
      <c r="D371" s="24"/>
      <c r="E371" s="24"/>
      <c r="F371" s="24"/>
      <c r="G371" s="24" t="s">
        <v>1628</v>
      </c>
      <c r="H371" s="24"/>
      <c r="I371" s="24"/>
    </row>
    <row r="372" spans="1:9">
      <c r="A372" s="24"/>
      <c r="C372" s="24"/>
      <c r="D372" s="24"/>
      <c r="E372" s="24"/>
      <c r="F372" s="24"/>
      <c r="G372" s="24"/>
      <c r="H372" s="24"/>
      <c r="I372" s="24"/>
    </row>
    <row r="373" spans="1:9">
      <c r="A373" s="23" t="s">
        <v>1669</v>
      </c>
      <c r="C373" s="23" t="s">
        <v>1664</v>
      </c>
      <c r="D373" s="23" t="s">
        <v>1670</v>
      </c>
      <c r="E373" s="24" t="s">
        <v>163</v>
      </c>
      <c r="F373" s="23" t="s">
        <v>187</v>
      </c>
      <c r="G373" s="24" t="s">
        <v>1656</v>
      </c>
      <c r="H373" s="24"/>
      <c r="I373" s="24"/>
    </row>
    <row r="374" spans="1:9">
      <c r="E374" s="24"/>
      <c r="G374" s="24" t="s">
        <v>1657</v>
      </c>
      <c r="H374" s="24"/>
      <c r="I374" s="24"/>
    </row>
    <row r="375" spans="1:9">
      <c r="A375" s="23" t="s">
        <v>1671</v>
      </c>
      <c r="D375" s="23" t="s">
        <v>1672</v>
      </c>
      <c r="E375" s="24" t="s">
        <v>163</v>
      </c>
      <c r="F375" s="24" t="s">
        <v>189</v>
      </c>
      <c r="G375" s="24" t="s">
        <v>1673</v>
      </c>
      <c r="H375" s="24"/>
      <c r="I375" s="24"/>
    </row>
    <row r="376" spans="1:9">
      <c r="E376" s="24"/>
      <c r="F376" s="24"/>
      <c r="G376" s="24" t="s">
        <v>1674</v>
      </c>
      <c r="H376" s="24"/>
      <c r="I376" s="24"/>
    </row>
    <row r="377" spans="1:9">
      <c r="A377" s="23" t="s">
        <v>1675</v>
      </c>
      <c r="D377" s="23" t="s">
        <v>1676</v>
      </c>
      <c r="E377" s="24" t="s">
        <v>163</v>
      </c>
      <c r="F377" s="24" t="s">
        <v>191</v>
      </c>
      <c r="G377" s="24" t="s">
        <v>1656</v>
      </c>
      <c r="H377" s="24"/>
      <c r="I377" s="24"/>
    </row>
    <row r="378" spans="1:9">
      <c r="E378" s="24"/>
      <c r="F378" s="24"/>
      <c r="G378" s="24" t="s">
        <v>1677</v>
      </c>
      <c r="H378" s="24"/>
      <c r="I378" s="24"/>
    </row>
    <row r="379" spans="1:9">
      <c r="E379" s="24"/>
      <c r="F379" s="24"/>
      <c r="G379" s="24" t="s">
        <v>1678</v>
      </c>
      <c r="H379" s="24"/>
      <c r="I379" s="24"/>
    </row>
    <row r="380" spans="1:9">
      <c r="A380" s="23" t="s">
        <v>1679</v>
      </c>
      <c r="D380" s="23" t="s">
        <v>1680</v>
      </c>
      <c r="E380" s="23" t="s">
        <v>163</v>
      </c>
      <c r="F380" s="23" t="s">
        <v>193</v>
      </c>
      <c r="G380" s="24" t="s">
        <v>1539</v>
      </c>
      <c r="H380" s="24"/>
      <c r="I380" s="24"/>
    </row>
    <row r="381" spans="1:9">
      <c r="G381" s="24" t="s">
        <v>1540</v>
      </c>
      <c r="H381" s="24"/>
      <c r="I381" s="24"/>
    </row>
    <row r="382" spans="1:9">
      <c r="A382" s="23" t="s">
        <v>1681</v>
      </c>
      <c r="D382" s="23" t="s">
        <v>1682</v>
      </c>
      <c r="E382" s="23" t="s">
        <v>163</v>
      </c>
      <c r="F382" s="23" t="s">
        <v>1683</v>
      </c>
      <c r="G382" s="24" t="s">
        <v>631</v>
      </c>
      <c r="H382" s="24"/>
      <c r="I382" s="24"/>
    </row>
    <row r="383" spans="1:9">
      <c r="A383" s="24" t="s">
        <v>1684</v>
      </c>
      <c r="C383" s="24" t="s">
        <v>1664</v>
      </c>
      <c r="D383" s="24" t="s">
        <v>1685</v>
      </c>
      <c r="E383" s="24" t="s">
        <v>148</v>
      </c>
      <c r="F383" s="24" t="s">
        <v>1438</v>
      </c>
      <c r="G383" s="24" t="s">
        <v>1565</v>
      </c>
      <c r="H383" s="24"/>
      <c r="I383" s="24"/>
    </row>
    <row r="384" spans="1:9">
      <c r="A384" s="24"/>
      <c r="C384" s="24"/>
      <c r="D384" s="24"/>
      <c r="E384" s="24"/>
      <c r="F384" s="24"/>
      <c r="G384" s="24"/>
      <c r="H384" s="24"/>
      <c r="I384" s="24"/>
    </row>
    <row r="385" spans="1:9">
      <c r="A385" s="24"/>
      <c r="C385" s="24"/>
      <c r="D385" s="24"/>
      <c r="E385" s="24"/>
      <c r="F385" s="24"/>
      <c r="G385" s="24"/>
      <c r="H385" s="24"/>
      <c r="I385" s="24"/>
    </row>
    <row r="386" spans="1:9" ht="39.6">
      <c r="A386" s="24"/>
      <c r="C386" s="24"/>
      <c r="D386" s="24"/>
      <c r="E386" s="24"/>
      <c r="F386" s="24"/>
      <c r="G386" s="24" t="s">
        <v>1566</v>
      </c>
      <c r="H386" s="24"/>
      <c r="I386" s="24"/>
    </row>
    <row r="387" spans="1:9">
      <c r="A387" s="23" t="s">
        <v>1686</v>
      </c>
      <c r="D387" s="23" t="s">
        <v>1687</v>
      </c>
      <c r="E387" s="24" t="s">
        <v>163</v>
      </c>
      <c r="F387" s="24" t="s">
        <v>197</v>
      </c>
      <c r="G387" s="24" t="s">
        <v>1539</v>
      </c>
      <c r="H387" s="24"/>
      <c r="I387" s="24"/>
    </row>
    <row r="388" spans="1:9">
      <c r="E388" s="24"/>
      <c r="F388" s="24"/>
      <c r="G388" s="24" t="s">
        <v>1540</v>
      </c>
      <c r="H388" s="24"/>
      <c r="I388" s="24"/>
    </row>
    <row r="389" spans="1:9">
      <c r="A389" s="23" t="s">
        <v>1688</v>
      </c>
      <c r="D389" s="23" t="s">
        <v>1689</v>
      </c>
      <c r="E389" s="23" t="s">
        <v>163</v>
      </c>
      <c r="F389" s="24" t="s">
        <v>1409</v>
      </c>
      <c r="G389" s="24" t="s">
        <v>1539</v>
      </c>
      <c r="H389" s="24"/>
      <c r="I389" s="24"/>
    </row>
    <row r="390" spans="1:9">
      <c r="F390" s="24"/>
      <c r="G390" s="24" t="s">
        <v>1540</v>
      </c>
      <c r="H390" s="24"/>
      <c r="I390" s="24"/>
    </row>
    <row r="391" spans="1:9">
      <c r="A391" s="23" t="s">
        <v>1690</v>
      </c>
      <c r="D391" s="23" t="s">
        <v>1691</v>
      </c>
      <c r="E391" s="24" t="s">
        <v>163</v>
      </c>
      <c r="F391" s="24" t="s">
        <v>1410</v>
      </c>
      <c r="G391" s="24" t="s">
        <v>1539</v>
      </c>
      <c r="H391" s="24"/>
      <c r="I391" s="24"/>
    </row>
    <row r="392" spans="1:9">
      <c r="E392" s="24"/>
      <c r="F392" s="24"/>
      <c r="G392" s="24" t="s">
        <v>1540</v>
      </c>
      <c r="H392" s="24"/>
      <c r="I392" s="24"/>
    </row>
    <row r="393" spans="1:9">
      <c r="A393" s="23" t="s">
        <v>1692</v>
      </c>
      <c r="D393" s="24" t="s">
        <v>1693</v>
      </c>
      <c r="E393" s="24" t="s">
        <v>145</v>
      </c>
      <c r="F393" s="24" t="s">
        <v>282</v>
      </c>
      <c r="G393" s="24" t="s">
        <v>1694</v>
      </c>
      <c r="H393" s="24"/>
      <c r="I393" s="24"/>
    </row>
    <row r="394" spans="1:9">
      <c r="A394" s="23" t="s">
        <v>1695</v>
      </c>
      <c r="D394" s="23" t="s">
        <v>1696</v>
      </c>
      <c r="E394" s="24" t="s">
        <v>145</v>
      </c>
      <c r="F394" s="23" t="s">
        <v>284</v>
      </c>
      <c r="G394" s="24" t="s">
        <v>1694</v>
      </c>
      <c r="H394" s="24"/>
      <c r="I394" s="24"/>
    </row>
    <row r="395" spans="1:9" ht="52.8">
      <c r="A395" s="23" t="s">
        <v>1697</v>
      </c>
      <c r="D395" s="23" t="s">
        <v>1698</v>
      </c>
      <c r="E395" s="23" t="s">
        <v>151</v>
      </c>
      <c r="F395" s="24" t="s">
        <v>1411</v>
      </c>
      <c r="G395" s="24" t="s">
        <v>1665</v>
      </c>
      <c r="H395" s="24"/>
      <c r="I395" s="24"/>
    </row>
    <row r="396" spans="1:9" ht="52.8">
      <c r="A396" s="23" t="s">
        <v>1699</v>
      </c>
      <c r="D396" s="23" t="s">
        <v>1700</v>
      </c>
      <c r="E396" s="23" t="s">
        <v>151</v>
      </c>
      <c r="F396" s="24" t="s">
        <v>1413</v>
      </c>
      <c r="G396" s="24" t="s">
        <v>1665</v>
      </c>
      <c r="H396" s="24"/>
      <c r="I396" s="24"/>
    </row>
    <row r="397" spans="1:9">
      <c r="A397" s="23" t="s">
        <v>1701</v>
      </c>
      <c r="D397" s="23" t="s">
        <v>1702</v>
      </c>
      <c r="E397" s="23" t="s">
        <v>148</v>
      </c>
      <c r="F397" s="23" t="s">
        <v>202</v>
      </c>
      <c r="G397" s="24" t="s">
        <v>1703</v>
      </c>
      <c r="H397" s="24"/>
      <c r="I397" s="24"/>
    </row>
    <row r="398" spans="1:9" ht="39.6">
      <c r="G398" s="24" t="s">
        <v>1704</v>
      </c>
      <c r="H398" s="24"/>
      <c r="I398" s="24"/>
    </row>
    <row r="399" spans="1:9">
      <c r="B399" s="24" t="s">
        <v>1533</v>
      </c>
      <c r="C399" s="27" t="s">
        <v>1534</v>
      </c>
      <c r="G399" s="24"/>
      <c r="H399" s="24"/>
      <c r="I399" s="24"/>
    </row>
    <row r="400" spans="1:9" ht="52.8">
      <c r="A400" s="23" t="s">
        <v>1705</v>
      </c>
      <c r="D400" s="23" t="s">
        <v>1706</v>
      </c>
      <c r="E400" s="23" t="s">
        <v>163</v>
      </c>
      <c r="F400" s="23" t="s">
        <v>184</v>
      </c>
      <c r="G400" s="24" t="s">
        <v>1665</v>
      </c>
      <c r="H400" s="24"/>
      <c r="I400" s="24"/>
    </row>
    <row r="401" spans="1:9">
      <c r="A401" s="24" t="s">
        <v>1707</v>
      </c>
      <c r="C401" s="24"/>
      <c r="D401" s="24" t="s">
        <v>1708</v>
      </c>
      <c r="E401" s="24" t="s">
        <v>151</v>
      </c>
      <c r="F401" s="24" t="s">
        <v>186</v>
      </c>
      <c r="G401" s="24" t="s">
        <v>1668</v>
      </c>
      <c r="H401" s="24" t="s">
        <v>1576</v>
      </c>
      <c r="I401" s="24"/>
    </row>
    <row r="402" spans="1:9" ht="39.6">
      <c r="A402" s="24"/>
      <c r="C402" s="24"/>
      <c r="D402" s="24"/>
      <c r="E402" s="24"/>
      <c r="F402" s="24"/>
      <c r="G402" s="24" t="s">
        <v>1628</v>
      </c>
      <c r="H402" s="24"/>
      <c r="I402" s="24"/>
    </row>
    <row r="403" spans="1:9">
      <c r="A403" s="24"/>
      <c r="C403" s="24"/>
      <c r="D403" s="24"/>
      <c r="E403" s="24"/>
      <c r="F403" s="24"/>
      <c r="G403" s="24"/>
      <c r="H403" s="24"/>
      <c r="I403" s="24"/>
    </row>
    <row r="404" spans="1:9">
      <c r="A404" s="23" t="s">
        <v>1709</v>
      </c>
      <c r="D404" s="23" t="s">
        <v>1710</v>
      </c>
      <c r="E404" s="24" t="s">
        <v>163</v>
      </c>
      <c r="F404" s="23" t="s">
        <v>187</v>
      </c>
      <c r="G404" s="24" t="s">
        <v>1656</v>
      </c>
      <c r="H404" s="24"/>
      <c r="I404" s="24"/>
    </row>
    <row r="405" spans="1:9">
      <c r="E405" s="24"/>
      <c r="G405" s="24" t="s">
        <v>1657</v>
      </c>
      <c r="H405" s="24"/>
      <c r="I405" s="24"/>
    </row>
    <row r="406" spans="1:9">
      <c r="A406" s="23" t="s">
        <v>1711</v>
      </c>
      <c r="D406" s="23" t="s">
        <v>1712</v>
      </c>
      <c r="E406" s="24" t="s">
        <v>163</v>
      </c>
      <c r="F406" s="24" t="s">
        <v>189</v>
      </c>
      <c r="G406" s="24" t="s">
        <v>1673</v>
      </c>
      <c r="H406" s="24"/>
      <c r="I406" s="24"/>
    </row>
    <row r="407" spans="1:9">
      <c r="E407" s="24"/>
      <c r="F407" s="24"/>
      <c r="G407" s="24" t="s">
        <v>1674</v>
      </c>
      <c r="H407" s="24"/>
      <c r="I407" s="24"/>
    </row>
    <row r="408" spans="1:9">
      <c r="A408" s="23" t="s">
        <v>1713</v>
      </c>
      <c r="D408" s="23" t="s">
        <v>1714</v>
      </c>
      <c r="E408" s="24" t="s">
        <v>163</v>
      </c>
      <c r="F408" s="24" t="s">
        <v>191</v>
      </c>
      <c r="G408" s="24" t="s">
        <v>1656</v>
      </c>
      <c r="H408" s="24"/>
      <c r="I408" s="24"/>
    </row>
    <row r="409" spans="1:9">
      <c r="E409" s="24"/>
      <c r="F409" s="24"/>
      <c r="G409" s="24" t="s">
        <v>1677</v>
      </c>
      <c r="H409" s="24"/>
      <c r="I409" s="24"/>
    </row>
    <row r="410" spans="1:9">
      <c r="E410" s="24"/>
      <c r="F410" s="24"/>
      <c r="G410" s="24" t="s">
        <v>1678</v>
      </c>
      <c r="H410" s="24"/>
      <c r="I410" s="24"/>
    </row>
    <row r="411" spans="1:9">
      <c r="A411" s="23" t="s">
        <v>1715</v>
      </c>
      <c r="D411" s="23" t="s">
        <v>1716</v>
      </c>
      <c r="E411" s="23" t="s">
        <v>163</v>
      </c>
      <c r="F411" s="23" t="s">
        <v>193</v>
      </c>
      <c r="G411" s="24" t="s">
        <v>1539</v>
      </c>
      <c r="H411" s="24"/>
      <c r="I411" s="24"/>
    </row>
    <row r="412" spans="1:9">
      <c r="G412" s="24" t="s">
        <v>1540</v>
      </c>
      <c r="H412" s="24"/>
      <c r="I412" s="24"/>
    </row>
    <row r="413" spans="1:9">
      <c r="A413" s="23" t="s">
        <v>1717</v>
      </c>
      <c r="D413" s="23" t="s">
        <v>1718</v>
      </c>
      <c r="E413" s="23" t="s">
        <v>163</v>
      </c>
      <c r="F413" s="23" t="s">
        <v>1683</v>
      </c>
      <c r="G413" s="24" t="s">
        <v>631</v>
      </c>
      <c r="H413" s="24"/>
      <c r="I413" s="24"/>
    </row>
    <row r="414" spans="1:9">
      <c r="A414" s="24" t="s">
        <v>1719</v>
      </c>
      <c r="C414" s="24"/>
      <c r="D414" s="24" t="s">
        <v>1720</v>
      </c>
      <c r="E414" s="24" t="s">
        <v>148</v>
      </c>
      <c r="F414" s="24" t="s">
        <v>1438</v>
      </c>
      <c r="G414" s="24" t="s">
        <v>1565</v>
      </c>
      <c r="H414" s="24"/>
      <c r="I414" s="24"/>
    </row>
    <row r="415" spans="1:9" ht="39.6">
      <c r="A415" s="24"/>
      <c r="C415" s="24"/>
      <c r="D415" s="24"/>
      <c r="E415" s="24"/>
      <c r="F415" s="24"/>
      <c r="G415" s="24" t="s">
        <v>1566</v>
      </c>
      <c r="H415" s="24"/>
      <c r="I415" s="24"/>
    </row>
    <row r="416" spans="1:9">
      <c r="A416" s="23" t="s">
        <v>1721</v>
      </c>
      <c r="D416" s="23" t="s">
        <v>1722</v>
      </c>
      <c r="E416" s="24" t="s">
        <v>163</v>
      </c>
      <c r="F416" s="24" t="s">
        <v>197</v>
      </c>
      <c r="G416" s="24" t="s">
        <v>1539</v>
      </c>
      <c r="H416" s="24"/>
      <c r="I416" s="24"/>
    </row>
    <row r="417" spans="1:9">
      <c r="E417" s="24"/>
      <c r="F417" s="24"/>
      <c r="G417" s="24" t="s">
        <v>1540</v>
      </c>
      <c r="H417" s="24"/>
      <c r="I417" s="24"/>
    </row>
    <row r="418" spans="1:9">
      <c r="A418" s="23" t="s">
        <v>1723</v>
      </c>
      <c r="D418" s="23" t="s">
        <v>1724</v>
      </c>
      <c r="E418" s="23" t="s">
        <v>163</v>
      </c>
      <c r="F418" s="24" t="s">
        <v>1409</v>
      </c>
      <c r="G418" s="24" t="s">
        <v>1539</v>
      </c>
      <c r="H418" s="24"/>
      <c r="I418" s="24"/>
    </row>
    <row r="419" spans="1:9">
      <c r="F419" s="24"/>
      <c r="G419" s="24" t="s">
        <v>1540</v>
      </c>
      <c r="H419" s="24"/>
      <c r="I419" s="24"/>
    </row>
    <row r="420" spans="1:9">
      <c r="A420" s="23" t="s">
        <v>1725</v>
      </c>
      <c r="D420" s="23" t="s">
        <v>1726</v>
      </c>
      <c r="E420" s="24" t="s">
        <v>163</v>
      </c>
      <c r="F420" s="24" t="s">
        <v>1410</v>
      </c>
      <c r="G420" s="24" t="s">
        <v>1539</v>
      </c>
      <c r="H420" s="24"/>
      <c r="I420" s="24"/>
    </row>
    <row r="421" spans="1:9">
      <c r="E421" s="24"/>
      <c r="F421" s="24"/>
      <c r="G421" s="24" t="s">
        <v>1540</v>
      </c>
      <c r="H421" s="24"/>
      <c r="I421" s="24"/>
    </row>
    <row r="422" spans="1:9">
      <c r="A422" s="23" t="s">
        <v>1727</v>
      </c>
      <c r="D422" s="24" t="s">
        <v>1728</v>
      </c>
      <c r="E422" s="24" t="s">
        <v>145</v>
      </c>
      <c r="F422" s="24" t="s">
        <v>282</v>
      </c>
      <c r="G422" s="24" t="s">
        <v>1694</v>
      </c>
      <c r="H422" s="24"/>
      <c r="I422" s="24"/>
    </row>
    <row r="423" spans="1:9">
      <c r="A423" s="23" t="s">
        <v>1729</v>
      </c>
      <c r="D423" s="23" t="s">
        <v>1730</v>
      </c>
      <c r="E423" s="24" t="s">
        <v>145</v>
      </c>
      <c r="F423" s="23" t="s">
        <v>284</v>
      </c>
      <c r="G423" s="24" t="s">
        <v>1694</v>
      </c>
      <c r="H423" s="24"/>
      <c r="I423" s="24"/>
    </row>
    <row r="424" spans="1:9" ht="52.8">
      <c r="A424" s="23" t="s">
        <v>1731</v>
      </c>
      <c r="D424" s="23" t="s">
        <v>1732</v>
      </c>
      <c r="E424" s="23" t="s">
        <v>163</v>
      </c>
      <c r="F424" s="24" t="s">
        <v>1411</v>
      </c>
      <c r="G424" s="24" t="s">
        <v>1665</v>
      </c>
      <c r="H424" s="24"/>
      <c r="I424" s="24"/>
    </row>
    <row r="425" spans="1:9" ht="52.8">
      <c r="A425" s="23" t="s">
        <v>1733</v>
      </c>
      <c r="D425" s="23" t="s">
        <v>1734</v>
      </c>
      <c r="E425" s="23" t="s">
        <v>163</v>
      </c>
      <c r="F425" s="24" t="s">
        <v>1413</v>
      </c>
      <c r="G425" s="24" t="s">
        <v>1665</v>
      </c>
      <c r="H425" s="24"/>
      <c r="I425" s="24"/>
    </row>
    <row r="426" spans="1:9">
      <c r="A426" s="23" t="s">
        <v>1735</v>
      </c>
      <c r="D426" s="23" t="s">
        <v>1736</v>
      </c>
      <c r="E426" s="23" t="s">
        <v>148</v>
      </c>
      <c r="F426" s="23" t="s">
        <v>202</v>
      </c>
      <c r="G426" s="24" t="s">
        <v>1703</v>
      </c>
      <c r="H426" s="24"/>
      <c r="I426" s="24"/>
    </row>
    <row r="427" spans="1:9" ht="39.6">
      <c r="G427" s="24" t="s">
        <v>1704</v>
      </c>
      <c r="H427" s="24"/>
      <c r="I427" s="24"/>
    </row>
    <row r="428" spans="1:9">
      <c r="B428" s="24" t="s">
        <v>1577</v>
      </c>
      <c r="C428" s="27" t="s">
        <v>1578</v>
      </c>
      <c r="G428" s="24"/>
      <c r="H428" s="24"/>
      <c r="I428" s="24"/>
    </row>
    <row r="429" spans="1:9" ht="52.8">
      <c r="D429" s="23" t="s">
        <v>1737</v>
      </c>
      <c r="E429" s="23" t="s">
        <v>163</v>
      </c>
      <c r="F429" s="23" t="s">
        <v>184</v>
      </c>
      <c r="G429" s="24" t="s">
        <v>1665</v>
      </c>
      <c r="H429" s="24"/>
      <c r="I429" s="24"/>
    </row>
    <row r="430" spans="1:9">
      <c r="A430" s="24"/>
      <c r="C430" s="24"/>
      <c r="D430" s="24" t="s">
        <v>1738</v>
      </c>
      <c r="E430" s="24" t="s">
        <v>151</v>
      </c>
      <c r="F430" s="24" t="s">
        <v>186</v>
      </c>
      <c r="G430" s="24" t="s">
        <v>1668</v>
      </c>
      <c r="H430" s="24" t="s">
        <v>1576</v>
      </c>
      <c r="I430" s="24"/>
    </row>
    <row r="431" spans="1:9" ht="39.6">
      <c r="A431" s="24"/>
      <c r="C431" s="24"/>
      <c r="D431" s="24"/>
      <c r="E431" s="24"/>
      <c r="F431" s="24"/>
      <c r="G431" s="24" t="s">
        <v>1628</v>
      </c>
      <c r="H431" s="24"/>
      <c r="I431" s="24"/>
    </row>
    <row r="432" spans="1:9">
      <c r="A432" s="24"/>
      <c r="C432" s="24"/>
      <c r="D432" s="24"/>
      <c r="E432" s="24"/>
      <c r="F432" s="24"/>
      <c r="G432" s="24"/>
      <c r="H432" s="24"/>
      <c r="I432" s="24"/>
    </row>
    <row r="433" spans="1:9">
      <c r="D433" s="23" t="s">
        <v>1739</v>
      </c>
      <c r="E433" s="24" t="s">
        <v>163</v>
      </c>
      <c r="F433" s="23" t="s">
        <v>187</v>
      </c>
      <c r="G433" s="24" t="s">
        <v>1656</v>
      </c>
      <c r="H433" s="24"/>
      <c r="I433" s="24"/>
    </row>
    <row r="434" spans="1:9">
      <c r="E434" s="24"/>
      <c r="G434" s="24" t="s">
        <v>1657</v>
      </c>
      <c r="H434" s="24"/>
      <c r="I434" s="24"/>
    </row>
    <row r="435" spans="1:9">
      <c r="D435" s="23" t="s">
        <v>1740</v>
      </c>
      <c r="E435" s="24" t="s">
        <v>163</v>
      </c>
      <c r="F435" s="24" t="s">
        <v>189</v>
      </c>
      <c r="G435" s="24" t="s">
        <v>1673</v>
      </c>
      <c r="H435" s="24"/>
      <c r="I435" s="24"/>
    </row>
    <row r="436" spans="1:9">
      <c r="E436" s="24"/>
      <c r="F436" s="24"/>
      <c r="G436" s="24" t="s">
        <v>1674</v>
      </c>
      <c r="H436" s="24"/>
      <c r="I436" s="24"/>
    </row>
    <row r="437" spans="1:9">
      <c r="D437" s="23" t="s">
        <v>1741</v>
      </c>
      <c r="E437" s="24" t="s">
        <v>163</v>
      </c>
      <c r="F437" s="24" t="s">
        <v>191</v>
      </c>
      <c r="G437" s="24" t="s">
        <v>1656</v>
      </c>
      <c r="H437" s="24"/>
      <c r="I437" s="24"/>
    </row>
    <row r="438" spans="1:9">
      <c r="E438" s="24"/>
      <c r="F438" s="24"/>
      <c r="G438" s="24" t="s">
        <v>1677</v>
      </c>
      <c r="H438" s="24"/>
      <c r="I438" s="24"/>
    </row>
    <row r="439" spans="1:9">
      <c r="E439" s="24"/>
      <c r="F439" s="24"/>
      <c r="G439" s="24" t="s">
        <v>1678</v>
      </c>
      <c r="H439" s="24"/>
      <c r="I439" s="24"/>
    </row>
    <row r="440" spans="1:9">
      <c r="D440" s="23" t="s">
        <v>1742</v>
      </c>
      <c r="E440" s="23" t="s">
        <v>163</v>
      </c>
      <c r="F440" s="23" t="s">
        <v>193</v>
      </c>
      <c r="G440" s="24" t="s">
        <v>1539</v>
      </c>
      <c r="H440" s="24"/>
      <c r="I440" s="24"/>
    </row>
    <row r="441" spans="1:9">
      <c r="G441" s="24" t="s">
        <v>1540</v>
      </c>
      <c r="H441" s="24"/>
      <c r="I441" s="24"/>
    </row>
    <row r="442" spans="1:9">
      <c r="D442" s="23" t="s">
        <v>1743</v>
      </c>
      <c r="E442" s="23" t="s">
        <v>163</v>
      </c>
      <c r="F442" s="23" t="s">
        <v>1683</v>
      </c>
      <c r="G442" s="24" t="s">
        <v>631</v>
      </c>
      <c r="H442" s="24"/>
      <c r="I442" s="24"/>
    </row>
    <row r="443" spans="1:9">
      <c r="A443" s="24"/>
      <c r="C443" s="24"/>
      <c r="D443" s="24" t="s">
        <v>1744</v>
      </c>
      <c r="E443" s="24" t="s">
        <v>148</v>
      </c>
      <c r="F443" s="24" t="s">
        <v>1438</v>
      </c>
      <c r="G443" s="24" t="s">
        <v>1565</v>
      </c>
      <c r="H443" s="24"/>
      <c r="I443" s="24"/>
    </row>
    <row r="444" spans="1:9" ht="39.6">
      <c r="A444" s="24"/>
      <c r="C444" s="24"/>
      <c r="D444" s="24"/>
      <c r="E444" s="24"/>
      <c r="F444" s="24"/>
      <c r="G444" s="24" t="s">
        <v>1566</v>
      </c>
      <c r="H444" s="24"/>
      <c r="I444" s="24"/>
    </row>
    <row r="445" spans="1:9">
      <c r="D445" s="23" t="s">
        <v>1745</v>
      </c>
      <c r="E445" s="24" t="s">
        <v>163</v>
      </c>
      <c r="F445" s="24" t="s">
        <v>197</v>
      </c>
      <c r="G445" s="24" t="s">
        <v>1539</v>
      </c>
      <c r="H445" s="24"/>
      <c r="I445" s="24"/>
    </row>
    <row r="446" spans="1:9">
      <c r="E446" s="24"/>
      <c r="F446" s="24"/>
      <c r="G446" s="24" t="s">
        <v>1540</v>
      </c>
      <c r="H446" s="24"/>
      <c r="I446" s="24"/>
    </row>
    <row r="447" spans="1:9">
      <c r="D447" s="23" t="s">
        <v>1746</v>
      </c>
      <c r="E447" s="23" t="s">
        <v>163</v>
      </c>
      <c r="F447" s="24" t="s">
        <v>1409</v>
      </c>
      <c r="G447" s="24" t="s">
        <v>1539</v>
      </c>
      <c r="H447" s="24"/>
      <c r="I447" s="24"/>
    </row>
    <row r="448" spans="1:9">
      <c r="F448" s="24"/>
      <c r="G448" s="24" t="s">
        <v>1540</v>
      </c>
      <c r="H448" s="24"/>
      <c r="I448" s="24"/>
    </row>
    <row r="449" spans="1:9">
      <c r="D449" s="23" t="s">
        <v>1747</v>
      </c>
      <c r="E449" s="24" t="s">
        <v>163</v>
      </c>
      <c r="F449" s="24" t="s">
        <v>1410</v>
      </c>
      <c r="G449" s="24" t="s">
        <v>1539</v>
      </c>
      <c r="H449" s="24"/>
      <c r="I449" s="24"/>
    </row>
    <row r="450" spans="1:9">
      <c r="E450" s="24"/>
      <c r="F450" s="24"/>
      <c r="G450" s="24" t="s">
        <v>1540</v>
      </c>
      <c r="H450" s="24"/>
      <c r="I450" s="24"/>
    </row>
    <row r="451" spans="1:9">
      <c r="D451" s="24" t="s">
        <v>1748</v>
      </c>
      <c r="E451" s="24" t="s">
        <v>145</v>
      </c>
      <c r="F451" s="24" t="s">
        <v>282</v>
      </c>
      <c r="G451" s="24" t="s">
        <v>1694</v>
      </c>
      <c r="H451" s="24"/>
      <c r="I451" s="24"/>
    </row>
    <row r="452" spans="1:9">
      <c r="D452" s="23" t="s">
        <v>1749</v>
      </c>
      <c r="E452" s="24" t="s">
        <v>145</v>
      </c>
      <c r="F452" s="23" t="s">
        <v>284</v>
      </c>
      <c r="G452" s="24" t="s">
        <v>1694</v>
      </c>
      <c r="H452" s="24"/>
      <c r="I452" s="24"/>
    </row>
    <row r="453" spans="1:9" ht="52.8">
      <c r="D453" s="23" t="s">
        <v>1750</v>
      </c>
      <c r="E453" s="23" t="s">
        <v>163</v>
      </c>
      <c r="F453" s="29"/>
      <c r="G453" s="24" t="s">
        <v>1665</v>
      </c>
      <c r="H453" s="24"/>
      <c r="I453" s="24"/>
    </row>
    <row r="454" spans="1:9" ht="52.8">
      <c r="D454" s="23" t="s">
        <v>1751</v>
      </c>
      <c r="E454" s="23" t="s">
        <v>163</v>
      </c>
      <c r="F454" s="29"/>
      <c r="G454" s="24" t="s">
        <v>1665</v>
      </c>
      <c r="H454" s="24"/>
      <c r="I454" s="24"/>
    </row>
    <row r="455" spans="1:9">
      <c r="D455" s="23" t="s">
        <v>1752</v>
      </c>
      <c r="E455" s="23" t="s">
        <v>148</v>
      </c>
      <c r="G455" s="24" t="s">
        <v>1703</v>
      </c>
      <c r="H455" s="24"/>
      <c r="I455" s="24"/>
    </row>
    <row r="456" spans="1:9" ht="39.6">
      <c r="G456" s="24" t="s">
        <v>1704</v>
      </c>
      <c r="H456" s="24"/>
      <c r="I456" s="24"/>
    </row>
    <row r="457" spans="1:9">
      <c r="A457" s="27" t="s">
        <v>1753</v>
      </c>
      <c r="B457" s="26" t="s">
        <v>1754</v>
      </c>
      <c r="C457" s="27"/>
      <c r="G457" s="24"/>
      <c r="H457" s="24"/>
      <c r="I457" s="24"/>
    </row>
    <row r="458" spans="1:9">
      <c r="B458" s="24" t="s">
        <v>1615</v>
      </c>
      <c r="C458" s="27" t="s">
        <v>1662</v>
      </c>
      <c r="G458" s="24"/>
      <c r="H458" s="24"/>
      <c r="I458" s="24"/>
    </row>
    <row r="459" spans="1:9">
      <c r="D459" s="23" t="s">
        <v>1755</v>
      </c>
      <c r="E459" s="23" t="s">
        <v>163</v>
      </c>
      <c r="F459" s="23" t="s">
        <v>1756</v>
      </c>
      <c r="G459" s="24" t="s">
        <v>631</v>
      </c>
      <c r="H459" s="24"/>
      <c r="I459" s="24"/>
    </row>
    <row r="460" spans="1:9">
      <c r="D460" s="23" t="s">
        <v>1757</v>
      </c>
      <c r="E460" s="23" t="s">
        <v>163</v>
      </c>
      <c r="F460" s="23" t="s">
        <v>1756</v>
      </c>
      <c r="G460" s="24" t="s">
        <v>631</v>
      </c>
      <c r="H460" s="24"/>
      <c r="I460" s="24"/>
    </row>
    <row r="461" spans="1:9">
      <c r="D461" s="23" t="s">
        <v>1758</v>
      </c>
      <c r="E461" s="23" t="s">
        <v>163</v>
      </c>
      <c r="F461" s="23" t="s">
        <v>1756</v>
      </c>
      <c r="G461" s="24" t="s">
        <v>631</v>
      </c>
      <c r="H461" s="24"/>
      <c r="I461" s="24"/>
    </row>
    <row r="462" spans="1:9">
      <c r="D462" s="23" t="s">
        <v>1759</v>
      </c>
      <c r="E462" s="23" t="s">
        <v>163</v>
      </c>
      <c r="F462" s="23" t="s">
        <v>1756</v>
      </c>
      <c r="G462" s="24" t="s">
        <v>631</v>
      </c>
      <c r="H462" s="24"/>
      <c r="I462" s="24"/>
    </row>
    <row r="463" spans="1:9">
      <c r="D463" s="23" t="s">
        <v>1760</v>
      </c>
      <c r="E463" s="23" t="s">
        <v>163</v>
      </c>
      <c r="F463" s="23" t="s">
        <v>1756</v>
      </c>
      <c r="G463" s="24" t="s">
        <v>1539</v>
      </c>
      <c r="H463" s="24"/>
      <c r="I463" s="24"/>
    </row>
    <row r="464" spans="1:9">
      <c r="G464" s="24" t="s">
        <v>1540</v>
      </c>
      <c r="H464" s="24"/>
      <c r="I464" s="24"/>
    </row>
    <row r="465" spans="2:9">
      <c r="D465" s="23" t="s">
        <v>1761</v>
      </c>
      <c r="E465" s="23" t="s">
        <v>163</v>
      </c>
      <c r="F465" s="23" t="s">
        <v>1762</v>
      </c>
      <c r="G465" s="24" t="s">
        <v>631</v>
      </c>
      <c r="H465" s="24"/>
      <c r="I465" s="24"/>
    </row>
    <row r="466" spans="2:9">
      <c r="D466" s="23" t="s">
        <v>1763</v>
      </c>
      <c r="E466" s="23" t="s">
        <v>163</v>
      </c>
      <c r="F466" s="23" t="s">
        <v>1764</v>
      </c>
      <c r="G466" s="24" t="s">
        <v>631</v>
      </c>
      <c r="H466" s="24"/>
      <c r="I466" s="24"/>
    </row>
    <row r="467" spans="2:9">
      <c r="D467" s="23" t="s">
        <v>1765</v>
      </c>
      <c r="E467" s="23" t="s">
        <v>163</v>
      </c>
      <c r="G467" s="24" t="s">
        <v>631</v>
      </c>
      <c r="H467" s="24"/>
      <c r="I467" s="24"/>
    </row>
    <row r="468" spans="2:9">
      <c r="D468" s="23" t="s">
        <v>1766</v>
      </c>
      <c r="E468" s="23" t="s">
        <v>163</v>
      </c>
      <c r="F468" s="23" t="s">
        <v>1767</v>
      </c>
      <c r="G468" s="24" t="s">
        <v>631</v>
      </c>
      <c r="H468" s="24"/>
      <c r="I468" s="24"/>
    </row>
    <row r="469" spans="2:9">
      <c r="D469" s="23" t="s">
        <v>1768</v>
      </c>
      <c r="E469" s="23" t="s">
        <v>163</v>
      </c>
      <c r="G469" s="24" t="s">
        <v>631</v>
      </c>
      <c r="H469" s="24"/>
      <c r="I469" s="24"/>
    </row>
    <row r="470" spans="2:9">
      <c r="D470" s="23" t="s">
        <v>1769</v>
      </c>
      <c r="E470" s="23" t="s">
        <v>163</v>
      </c>
      <c r="F470" s="23" t="s">
        <v>1770</v>
      </c>
      <c r="G470" s="24" t="s">
        <v>631</v>
      </c>
      <c r="H470" s="24"/>
      <c r="I470" s="24"/>
    </row>
    <row r="471" spans="2:9">
      <c r="D471" s="23" t="s">
        <v>1771</v>
      </c>
      <c r="E471" s="23" t="s">
        <v>163</v>
      </c>
      <c r="F471" s="23" t="s">
        <v>1772</v>
      </c>
      <c r="G471" s="24" t="s">
        <v>631</v>
      </c>
      <c r="H471" s="24"/>
      <c r="I471" s="24"/>
    </row>
    <row r="472" spans="2:9">
      <c r="B472" s="24" t="s">
        <v>1533</v>
      </c>
      <c r="C472" s="27" t="s">
        <v>1534</v>
      </c>
      <c r="G472" s="24"/>
      <c r="H472" s="24"/>
      <c r="I472" s="24"/>
    </row>
    <row r="473" spans="2:9">
      <c r="D473" s="23" t="s">
        <v>1773</v>
      </c>
      <c r="E473" s="23" t="s">
        <v>163</v>
      </c>
      <c r="G473" s="24" t="s">
        <v>631</v>
      </c>
      <c r="H473" s="24"/>
      <c r="I473" s="24"/>
    </row>
    <row r="474" spans="2:9">
      <c r="D474" s="23" t="s">
        <v>1774</v>
      </c>
      <c r="E474" s="23" t="s">
        <v>163</v>
      </c>
      <c r="G474" s="24" t="s">
        <v>631</v>
      </c>
      <c r="H474" s="24"/>
      <c r="I474" s="24"/>
    </row>
    <row r="475" spans="2:9">
      <c r="D475" s="23" t="s">
        <v>1775</v>
      </c>
      <c r="E475" s="23" t="s">
        <v>163</v>
      </c>
      <c r="G475" s="24" t="s">
        <v>631</v>
      </c>
      <c r="H475" s="24"/>
      <c r="I475" s="24"/>
    </row>
    <row r="476" spans="2:9">
      <c r="D476" s="23" t="s">
        <v>1776</v>
      </c>
      <c r="E476" s="23" t="s">
        <v>163</v>
      </c>
      <c r="G476" s="24" t="s">
        <v>631</v>
      </c>
      <c r="H476" s="24"/>
      <c r="I476" s="24"/>
    </row>
    <row r="477" spans="2:9">
      <c r="D477" s="23" t="s">
        <v>1777</v>
      </c>
      <c r="E477" s="23" t="s">
        <v>163</v>
      </c>
      <c r="G477" s="24" t="s">
        <v>1539</v>
      </c>
      <c r="H477" s="24"/>
      <c r="I477" s="24"/>
    </row>
    <row r="478" spans="2:9">
      <c r="G478" s="24" t="s">
        <v>1540</v>
      </c>
      <c r="H478" s="24"/>
      <c r="I478" s="24"/>
    </row>
    <row r="479" spans="2:9">
      <c r="D479" s="23" t="s">
        <v>1778</v>
      </c>
      <c r="E479" s="23" t="s">
        <v>163</v>
      </c>
      <c r="F479" s="23" t="s">
        <v>1762</v>
      </c>
      <c r="G479" s="24" t="s">
        <v>631</v>
      </c>
      <c r="H479" s="24"/>
      <c r="I479" s="24"/>
    </row>
    <row r="480" spans="2:9">
      <c r="D480" s="23" t="s">
        <v>1779</v>
      </c>
      <c r="E480" s="23" t="s">
        <v>163</v>
      </c>
      <c r="F480" s="23" t="s">
        <v>1764</v>
      </c>
      <c r="G480" s="24" t="s">
        <v>631</v>
      </c>
      <c r="H480" s="24"/>
      <c r="I480" s="24"/>
    </row>
    <row r="481" spans="2:9">
      <c r="D481" s="23" t="s">
        <v>1780</v>
      </c>
      <c r="E481" s="23" t="s">
        <v>163</v>
      </c>
      <c r="G481" s="24" t="s">
        <v>631</v>
      </c>
      <c r="H481" s="24"/>
      <c r="I481" s="24"/>
    </row>
    <row r="482" spans="2:9">
      <c r="D482" s="23" t="s">
        <v>1781</v>
      </c>
      <c r="E482" s="23" t="s">
        <v>163</v>
      </c>
      <c r="F482" s="23" t="s">
        <v>1767</v>
      </c>
      <c r="G482" s="24" t="s">
        <v>631</v>
      </c>
      <c r="H482" s="24"/>
      <c r="I482" s="24"/>
    </row>
    <row r="483" spans="2:9">
      <c r="D483" s="23" t="s">
        <v>1782</v>
      </c>
      <c r="E483" s="23" t="s">
        <v>163</v>
      </c>
      <c r="G483" s="24" t="s">
        <v>631</v>
      </c>
      <c r="H483" s="24"/>
      <c r="I483" s="24"/>
    </row>
    <row r="484" spans="2:9">
      <c r="D484" s="23" t="s">
        <v>1783</v>
      </c>
      <c r="E484" s="23" t="s">
        <v>163</v>
      </c>
      <c r="F484" s="23" t="s">
        <v>1770</v>
      </c>
      <c r="G484" s="24" t="s">
        <v>631</v>
      </c>
      <c r="H484" s="24"/>
      <c r="I484" s="24"/>
    </row>
    <row r="485" spans="2:9">
      <c r="D485" s="23" t="s">
        <v>1784</v>
      </c>
      <c r="E485" s="23" t="s">
        <v>163</v>
      </c>
      <c r="F485" s="23" t="s">
        <v>1772</v>
      </c>
      <c r="G485" s="24" t="s">
        <v>631</v>
      </c>
      <c r="H485" s="24"/>
      <c r="I485" s="24"/>
    </row>
    <row r="486" spans="2:9">
      <c r="B486" s="24" t="s">
        <v>1577</v>
      </c>
      <c r="C486" s="27" t="s">
        <v>1578</v>
      </c>
      <c r="G486" s="24"/>
      <c r="H486" s="24"/>
      <c r="I486" s="24"/>
    </row>
    <row r="487" spans="2:9">
      <c r="D487" s="23" t="s">
        <v>1785</v>
      </c>
      <c r="E487" s="23" t="s">
        <v>163</v>
      </c>
      <c r="G487" s="24" t="s">
        <v>631</v>
      </c>
      <c r="H487" s="24"/>
      <c r="I487" s="24"/>
    </row>
    <row r="488" spans="2:9">
      <c r="D488" s="23" t="s">
        <v>1786</v>
      </c>
      <c r="E488" s="23" t="s">
        <v>163</v>
      </c>
      <c r="G488" s="24" t="s">
        <v>631</v>
      </c>
      <c r="H488" s="24"/>
      <c r="I488" s="24"/>
    </row>
    <row r="489" spans="2:9">
      <c r="D489" s="23" t="s">
        <v>1787</v>
      </c>
      <c r="E489" s="23" t="s">
        <v>163</v>
      </c>
      <c r="G489" s="24" t="s">
        <v>631</v>
      </c>
      <c r="H489" s="24"/>
      <c r="I489" s="24"/>
    </row>
    <row r="490" spans="2:9">
      <c r="D490" s="23" t="s">
        <v>1788</v>
      </c>
      <c r="E490" s="23" t="s">
        <v>163</v>
      </c>
      <c r="G490" s="24" t="s">
        <v>631</v>
      </c>
      <c r="H490" s="24"/>
      <c r="I490" s="24"/>
    </row>
    <row r="491" spans="2:9">
      <c r="D491" s="23" t="s">
        <v>1789</v>
      </c>
      <c r="E491" s="23" t="s">
        <v>163</v>
      </c>
      <c r="G491" s="24" t="s">
        <v>1539</v>
      </c>
      <c r="H491" s="24"/>
      <c r="I491" s="24"/>
    </row>
    <row r="492" spans="2:9">
      <c r="G492" s="24" t="s">
        <v>1540</v>
      </c>
      <c r="H492" s="24"/>
      <c r="I492" s="24"/>
    </row>
    <row r="493" spans="2:9">
      <c r="D493" s="23" t="s">
        <v>1790</v>
      </c>
      <c r="E493" s="23" t="s">
        <v>163</v>
      </c>
      <c r="F493" s="23" t="s">
        <v>1762</v>
      </c>
      <c r="G493" s="24" t="s">
        <v>631</v>
      </c>
      <c r="H493" s="24"/>
      <c r="I493" s="24"/>
    </row>
    <row r="494" spans="2:9">
      <c r="D494" s="23" t="s">
        <v>1791</v>
      </c>
      <c r="E494" s="23" t="s">
        <v>163</v>
      </c>
      <c r="F494" s="23" t="s">
        <v>1764</v>
      </c>
      <c r="G494" s="24" t="s">
        <v>631</v>
      </c>
      <c r="H494" s="24"/>
      <c r="I494" s="24"/>
    </row>
    <row r="495" spans="2:9">
      <c r="D495" s="23" t="s">
        <v>1792</v>
      </c>
      <c r="E495" s="23" t="s">
        <v>163</v>
      </c>
      <c r="G495" s="24" t="s">
        <v>631</v>
      </c>
      <c r="H495" s="24"/>
      <c r="I495" s="24"/>
    </row>
    <row r="496" spans="2:9">
      <c r="D496" s="23" t="s">
        <v>1793</v>
      </c>
      <c r="E496" s="23" t="s">
        <v>163</v>
      </c>
      <c r="F496" s="23" t="s">
        <v>1767</v>
      </c>
      <c r="G496" s="24" t="s">
        <v>631</v>
      </c>
      <c r="H496" s="24"/>
      <c r="I496" s="24"/>
    </row>
    <row r="497" spans="1:9">
      <c r="D497" s="23" t="s">
        <v>1794</v>
      </c>
      <c r="E497" s="23" t="s">
        <v>163</v>
      </c>
      <c r="G497" s="24" t="s">
        <v>631</v>
      </c>
      <c r="H497" s="24"/>
      <c r="I497" s="24"/>
    </row>
    <row r="498" spans="1:9">
      <c r="D498" s="23" t="s">
        <v>1795</v>
      </c>
      <c r="E498" s="23" t="s">
        <v>163</v>
      </c>
      <c r="F498" s="23" t="s">
        <v>1770</v>
      </c>
      <c r="G498" s="24" t="s">
        <v>631</v>
      </c>
      <c r="H498" s="24"/>
      <c r="I498" s="24"/>
    </row>
    <row r="499" spans="1:9">
      <c r="D499" s="23" t="s">
        <v>1796</v>
      </c>
      <c r="E499" s="23" t="s">
        <v>163</v>
      </c>
      <c r="F499" s="23" t="s">
        <v>1772</v>
      </c>
      <c r="G499" s="24" t="s">
        <v>631</v>
      </c>
      <c r="H499" s="24"/>
      <c r="I499" s="24"/>
    </row>
    <row r="500" spans="1:9">
      <c r="A500" s="27" t="s">
        <v>1797</v>
      </c>
      <c r="B500" s="26" t="s">
        <v>1798</v>
      </c>
      <c r="C500" s="27"/>
      <c r="G500" s="24"/>
      <c r="H500" s="24"/>
      <c r="I500" s="24"/>
    </row>
    <row r="501" spans="1:9">
      <c r="B501" s="24" t="s">
        <v>1615</v>
      </c>
      <c r="C501" s="27" t="s">
        <v>1662</v>
      </c>
      <c r="G501" s="24"/>
      <c r="H501" s="24"/>
      <c r="I501" s="24"/>
    </row>
    <row r="502" spans="1:9">
      <c r="D502" s="23" t="s">
        <v>1799</v>
      </c>
      <c r="E502" s="23" t="s">
        <v>163</v>
      </c>
      <c r="F502" s="23" t="s">
        <v>1800</v>
      </c>
      <c r="G502" s="24" t="s">
        <v>1801</v>
      </c>
      <c r="H502" s="24"/>
      <c r="I502" s="24"/>
    </row>
    <row r="503" spans="1:9">
      <c r="G503" s="24" t="s">
        <v>1802</v>
      </c>
      <c r="H503" s="24"/>
      <c r="I503" s="24"/>
    </row>
    <row r="504" spans="1:9">
      <c r="D504" s="23" t="s">
        <v>1803</v>
      </c>
      <c r="E504" s="23" t="s">
        <v>163</v>
      </c>
      <c r="F504" s="23" t="s">
        <v>1800</v>
      </c>
      <c r="G504" s="24" t="s">
        <v>1801</v>
      </c>
      <c r="H504" s="24"/>
      <c r="I504" s="24"/>
    </row>
    <row r="505" spans="1:9">
      <c r="G505" s="24" t="s">
        <v>1802</v>
      </c>
      <c r="H505" s="24"/>
      <c r="I505" s="24"/>
    </row>
    <row r="506" spans="1:9">
      <c r="D506" s="23" t="s">
        <v>1804</v>
      </c>
      <c r="E506" s="23" t="s">
        <v>163</v>
      </c>
      <c r="F506" s="23" t="s">
        <v>1805</v>
      </c>
      <c r="G506" s="24" t="s">
        <v>1801</v>
      </c>
      <c r="H506" s="24"/>
      <c r="I506" s="24"/>
    </row>
    <row r="507" spans="1:9">
      <c r="G507" s="24" t="s">
        <v>1802</v>
      </c>
      <c r="H507" s="24"/>
      <c r="I507" s="24"/>
    </row>
    <row r="508" spans="1:9">
      <c r="B508" s="24" t="s">
        <v>1533</v>
      </c>
      <c r="C508" s="27" t="s">
        <v>1534</v>
      </c>
      <c r="G508" s="24"/>
      <c r="H508" s="24"/>
      <c r="I508" s="24"/>
    </row>
    <row r="509" spans="1:9">
      <c r="D509" s="23" t="s">
        <v>1806</v>
      </c>
      <c r="E509" s="23" t="s">
        <v>163</v>
      </c>
      <c r="F509" s="23" t="s">
        <v>1800</v>
      </c>
      <c r="G509" s="24" t="s">
        <v>1801</v>
      </c>
      <c r="H509" s="24"/>
      <c r="I509" s="24"/>
    </row>
    <row r="510" spans="1:9">
      <c r="G510" s="24" t="s">
        <v>1802</v>
      </c>
      <c r="H510" s="24"/>
      <c r="I510" s="24"/>
    </row>
    <row r="511" spans="1:9">
      <c r="D511" s="23" t="s">
        <v>1807</v>
      </c>
      <c r="E511" s="23" t="s">
        <v>163</v>
      </c>
      <c r="F511" s="23" t="s">
        <v>1800</v>
      </c>
      <c r="G511" s="24" t="s">
        <v>1801</v>
      </c>
      <c r="H511" s="24"/>
      <c r="I511" s="24"/>
    </row>
    <row r="512" spans="1:9">
      <c r="G512" s="24" t="s">
        <v>1802</v>
      </c>
      <c r="H512" s="24"/>
      <c r="I512" s="24"/>
    </row>
    <row r="513" spans="1:9">
      <c r="D513" s="23" t="s">
        <v>1808</v>
      </c>
      <c r="E513" s="23" t="s">
        <v>163</v>
      </c>
      <c r="F513" s="23" t="s">
        <v>1805</v>
      </c>
      <c r="G513" s="24" t="s">
        <v>1801</v>
      </c>
      <c r="H513" s="24"/>
      <c r="I513" s="24"/>
    </row>
    <row r="514" spans="1:9">
      <c r="G514" s="24" t="s">
        <v>1802</v>
      </c>
      <c r="H514" s="24"/>
      <c r="I514" s="24"/>
    </row>
    <row r="515" spans="1:9">
      <c r="B515" s="24" t="s">
        <v>1577</v>
      </c>
      <c r="C515" s="27" t="s">
        <v>1578</v>
      </c>
      <c r="G515" s="24"/>
      <c r="H515" s="24"/>
      <c r="I515" s="24"/>
    </row>
    <row r="516" spans="1:9">
      <c r="D516" s="23" t="s">
        <v>1809</v>
      </c>
      <c r="E516" s="23" t="s">
        <v>163</v>
      </c>
      <c r="F516" s="23" t="s">
        <v>1800</v>
      </c>
      <c r="G516" s="24" t="s">
        <v>1801</v>
      </c>
      <c r="H516" s="24"/>
      <c r="I516" s="24"/>
    </row>
    <row r="517" spans="1:9">
      <c r="G517" s="24" t="s">
        <v>1802</v>
      </c>
      <c r="H517" s="24"/>
      <c r="I517" s="24"/>
    </row>
    <row r="518" spans="1:9">
      <c r="D518" s="23" t="s">
        <v>1810</v>
      </c>
      <c r="E518" s="23" t="s">
        <v>163</v>
      </c>
      <c r="F518" s="23" t="s">
        <v>1800</v>
      </c>
      <c r="G518" s="24" t="s">
        <v>1801</v>
      </c>
      <c r="H518" s="24"/>
      <c r="I518" s="24"/>
    </row>
    <row r="519" spans="1:9">
      <c r="G519" s="24" t="s">
        <v>1802</v>
      </c>
      <c r="H519" s="24"/>
      <c r="I519" s="24"/>
    </row>
    <row r="520" spans="1:9">
      <c r="D520" s="23" t="s">
        <v>1811</v>
      </c>
      <c r="E520" s="23" t="s">
        <v>163</v>
      </c>
      <c r="F520" s="23" t="s">
        <v>1805</v>
      </c>
      <c r="G520" s="24" t="s">
        <v>1801</v>
      </c>
      <c r="H520" s="24"/>
      <c r="I520" s="24"/>
    </row>
    <row r="521" spans="1:9">
      <c r="G521" s="24" t="s">
        <v>1802</v>
      </c>
      <c r="H521" s="24"/>
      <c r="I521" s="24"/>
    </row>
    <row r="522" spans="1:9">
      <c r="A522" s="27" t="s">
        <v>1812</v>
      </c>
      <c r="B522" s="26" t="s">
        <v>1813</v>
      </c>
      <c r="G522" s="24"/>
      <c r="H522" s="24"/>
      <c r="I522" s="24"/>
    </row>
    <row r="523" spans="1:9">
      <c r="B523" s="24" t="s">
        <v>1615</v>
      </c>
      <c r="C523" s="27" t="s">
        <v>1662</v>
      </c>
      <c r="G523" s="24"/>
      <c r="H523" s="24"/>
      <c r="I523" s="24"/>
    </row>
    <row r="524" spans="1:9">
      <c r="D524" s="23" t="s">
        <v>1814</v>
      </c>
      <c r="E524" s="23" t="s">
        <v>163</v>
      </c>
      <c r="F524" s="23" t="s">
        <v>1419</v>
      </c>
      <c r="G524" s="24" t="s">
        <v>1539</v>
      </c>
      <c r="H524" s="24"/>
      <c r="I524" s="24"/>
    </row>
    <row r="525" spans="1:9">
      <c r="G525" s="24" t="s">
        <v>1540</v>
      </c>
      <c r="H525" s="24"/>
      <c r="I525" s="24"/>
    </row>
    <row r="526" spans="1:9">
      <c r="D526" s="23" t="s">
        <v>1815</v>
      </c>
      <c r="E526" s="23" t="s">
        <v>163</v>
      </c>
      <c r="F526" s="23" t="s">
        <v>1420</v>
      </c>
      <c r="G526" s="24" t="s">
        <v>1539</v>
      </c>
      <c r="H526" s="24"/>
      <c r="I526" s="24"/>
    </row>
    <row r="527" spans="1:9">
      <c r="G527" s="24" t="s">
        <v>1540</v>
      </c>
      <c r="H527" s="24"/>
      <c r="I527" s="24"/>
    </row>
    <row r="528" spans="1:9">
      <c r="D528" s="23" t="s">
        <v>1816</v>
      </c>
      <c r="E528" s="23" t="s">
        <v>163</v>
      </c>
      <c r="F528" s="23" t="s">
        <v>1421</v>
      </c>
      <c r="G528" s="24" t="s">
        <v>1817</v>
      </c>
      <c r="H528" s="24"/>
      <c r="I528" s="24"/>
    </row>
    <row r="529" spans="2:9">
      <c r="G529" s="24" t="s">
        <v>1818</v>
      </c>
      <c r="H529" s="24"/>
      <c r="I529" s="24"/>
    </row>
    <row r="530" spans="2:9">
      <c r="D530" s="23" t="s">
        <v>1819</v>
      </c>
      <c r="E530" s="23" t="s">
        <v>163</v>
      </c>
      <c r="F530" s="23" t="s">
        <v>784</v>
      </c>
      <c r="G530" s="24" t="s">
        <v>1539</v>
      </c>
      <c r="H530" s="24"/>
      <c r="I530" s="24"/>
    </row>
    <row r="531" spans="2:9">
      <c r="G531" s="24" t="s">
        <v>1540</v>
      </c>
      <c r="H531" s="24"/>
      <c r="I531" s="24"/>
    </row>
    <row r="532" spans="2:9">
      <c r="D532" s="23" t="s">
        <v>1820</v>
      </c>
      <c r="E532" s="23" t="s">
        <v>163</v>
      </c>
      <c r="F532" s="23" t="s">
        <v>792</v>
      </c>
      <c r="G532" s="24" t="s">
        <v>1817</v>
      </c>
      <c r="H532" s="24"/>
      <c r="I532" s="24"/>
    </row>
    <row r="533" spans="2:9">
      <c r="G533" s="24" t="s">
        <v>1821</v>
      </c>
      <c r="H533" s="24"/>
      <c r="I533" s="24"/>
    </row>
    <row r="534" spans="2:9">
      <c r="B534" s="24" t="s">
        <v>1533</v>
      </c>
      <c r="C534" s="27" t="s">
        <v>1534</v>
      </c>
      <c r="G534" s="24"/>
      <c r="H534" s="24"/>
      <c r="I534" s="24"/>
    </row>
    <row r="535" spans="2:9">
      <c r="E535" s="23" t="s">
        <v>1822</v>
      </c>
      <c r="F535" s="23" t="s">
        <v>1822</v>
      </c>
      <c r="G535" s="24"/>
      <c r="H535" s="24"/>
      <c r="I535" s="24"/>
    </row>
    <row r="536" spans="2:9">
      <c r="E536" s="23" t="s">
        <v>1822</v>
      </c>
      <c r="F536" s="23" t="s">
        <v>1822</v>
      </c>
      <c r="G536" s="24"/>
      <c r="H536" s="24"/>
      <c r="I536" s="24"/>
    </row>
    <row r="537" spans="2:9">
      <c r="E537" s="23" t="s">
        <v>1822</v>
      </c>
      <c r="F537" s="23" t="s">
        <v>1822</v>
      </c>
      <c r="G537" s="24"/>
      <c r="H537" s="24"/>
      <c r="I537" s="24"/>
    </row>
    <row r="538" spans="2:9">
      <c r="E538" s="23" t="s">
        <v>1822</v>
      </c>
      <c r="F538" s="23" t="s">
        <v>1822</v>
      </c>
      <c r="G538" s="24"/>
      <c r="H538" s="24"/>
      <c r="I538" s="24"/>
    </row>
    <row r="539" spans="2:9">
      <c r="E539" s="23" t="s">
        <v>1822</v>
      </c>
      <c r="F539" s="23" t="s">
        <v>1822</v>
      </c>
      <c r="G539" s="24"/>
      <c r="H539" s="24"/>
      <c r="I539" s="24"/>
    </row>
    <row r="540" spans="2:9">
      <c r="B540" s="24" t="s">
        <v>1577</v>
      </c>
      <c r="C540" s="27" t="s">
        <v>1578</v>
      </c>
      <c r="G540" s="24"/>
      <c r="H540" s="24"/>
      <c r="I540" s="24"/>
    </row>
    <row r="541" spans="2:9">
      <c r="E541" s="23" t="s">
        <v>1822</v>
      </c>
      <c r="F541" s="23" t="s">
        <v>1822</v>
      </c>
      <c r="G541" s="24"/>
      <c r="H541" s="24"/>
      <c r="I541" s="24"/>
    </row>
    <row r="542" spans="2:9">
      <c r="E542" s="23" t="s">
        <v>1822</v>
      </c>
      <c r="F542" s="23" t="s">
        <v>1822</v>
      </c>
      <c r="G542" s="24"/>
      <c r="H542" s="24"/>
      <c r="I542" s="24"/>
    </row>
    <row r="543" spans="2:9">
      <c r="E543" s="23" t="s">
        <v>1822</v>
      </c>
      <c r="F543" s="23" t="s">
        <v>1822</v>
      </c>
      <c r="G543" s="24"/>
      <c r="H543" s="24"/>
      <c r="I543" s="24"/>
    </row>
    <row r="544" spans="2:9">
      <c r="E544" s="23" t="s">
        <v>1822</v>
      </c>
      <c r="F544" s="23" t="s">
        <v>1822</v>
      </c>
      <c r="G544" s="24"/>
      <c r="H544" s="24"/>
      <c r="I544" s="24"/>
    </row>
    <row r="545" spans="1:9">
      <c r="E545" s="23" t="s">
        <v>1822</v>
      </c>
      <c r="F545" s="23" t="s">
        <v>1822</v>
      </c>
      <c r="G545" s="24"/>
      <c r="H545" s="24"/>
      <c r="I545" s="24"/>
    </row>
    <row r="546" spans="1:9">
      <c r="B546" s="26" t="s">
        <v>366</v>
      </c>
      <c r="C546" s="27"/>
      <c r="D546" s="27"/>
      <c r="E546" s="27"/>
      <c r="F546" s="27"/>
      <c r="G546" s="27"/>
      <c r="H546" s="24"/>
      <c r="I546" s="24"/>
    </row>
    <row r="547" spans="1:9">
      <c r="A547" s="24"/>
      <c r="C547" s="24"/>
      <c r="D547" s="24" t="s">
        <v>1823</v>
      </c>
      <c r="E547" s="24" t="s">
        <v>163</v>
      </c>
      <c r="F547" s="24" t="s">
        <v>367</v>
      </c>
      <c r="G547" s="24" t="s">
        <v>1824</v>
      </c>
      <c r="H547" s="24"/>
      <c r="I547" s="24"/>
    </row>
    <row r="548" spans="1:9">
      <c r="A548" s="24"/>
      <c r="C548" s="24"/>
      <c r="D548" s="24"/>
      <c r="E548" s="24"/>
      <c r="F548" s="24"/>
      <c r="G548" s="24" t="s">
        <v>1651</v>
      </c>
      <c r="H548" s="24"/>
      <c r="I548" s="24"/>
    </row>
    <row r="549" spans="1:9">
      <c r="A549" s="24"/>
      <c r="C549" s="24"/>
      <c r="D549" s="24"/>
      <c r="E549" s="24"/>
      <c r="F549" s="24"/>
      <c r="G549" s="24" t="s">
        <v>1652</v>
      </c>
      <c r="H549" s="24"/>
      <c r="I549" s="24"/>
    </row>
    <row r="550" spans="1:9">
      <c r="A550" s="24"/>
      <c r="C550" s="24"/>
      <c r="D550" s="24"/>
      <c r="E550" s="24"/>
      <c r="F550" s="24"/>
      <c r="G550" s="24" t="s">
        <v>1825</v>
      </c>
      <c r="H550" s="24"/>
      <c r="I550" s="24"/>
    </row>
    <row r="551" spans="1:9">
      <c r="A551" s="24"/>
      <c r="C551" s="24"/>
      <c r="D551" s="24" t="s">
        <v>1826</v>
      </c>
      <c r="E551" s="24" t="s">
        <v>163</v>
      </c>
      <c r="F551" s="24" t="s">
        <v>369</v>
      </c>
      <c r="G551" s="24" t="s">
        <v>1650</v>
      </c>
      <c r="H551" s="24"/>
      <c r="I551" s="24"/>
    </row>
    <row r="552" spans="1:9">
      <c r="A552" s="24"/>
      <c r="C552" s="24"/>
      <c r="D552" s="24"/>
      <c r="E552" s="24"/>
      <c r="F552" s="24"/>
      <c r="G552" s="24" t="s">
        <v>1827</v>
      </c>
      <c r="H552" s="24"/>
      <c r="I552" s="24"/>
    </row>
    <row r="553" spans="1:9">
      <c r="D553" s="23" t="s">
        <v>1828</v>
      </c>
      <c r="E553" s="24" t="s">
        <v>145</v>
      </c>
      <c r="F553" s="24" t="s">
        <v>370</v>
      </c>
      <c r="G553" s="24" t="s">
        <v>1829</v>
      </c>
      <c r="H553" s="24"/>
      <c r="I553" s="24"/>
    </row>
    <row r="554" spans="1:9">
      <c r="D554" s="23" t="s">
        <v>1830</v>
      </c>
      <c r="E554" s="23" t="s">
        <v>145</v>
      </c>
      <c r="F554" s="24" t="s">
        <v>373</v>
      </c>
      <c r="G554" s="24" t="s">
        <v>1831</v>
      </c>
      <c r="H554" s="24"/>
      <c r="I554" s="24"/>
    </row>
    <row r="555" spans="1:9" ht="26.4">
      <c r="F555" s="24"/>
      <c r="G555" s="24" t="s">
        <v>1637</v>
      </c>
      <c r="H555" s="24"/>
      <c r="I555" s="24"/>
    </row>
    <row r="556" spans="1:9">
      <c r="A556" s="24"/>
      <c r="C556" s="24"/>
      <c r="D556" s="24" t="s">
        <v>1832</v>
      </c>
      <c r="E556" s="24" t="s">
        <v>148</v>
      </c>
      <c r="F556" s="24" t="s">
        <v>375</v>
      </c>
      <c r="G556" s="24" t="s">
        <v>1833</v>
      </c>
      <c r="H556" s="24" t="s">
        <v>1576</v>
      </c>
      <c r="I556" s="24"/>
    </row>
    <row r="557" spans="1:9">
      <c r="A557" s="24"/>
      <c r="C557" s="24"/>
      <c r="D557" s="24"/>
      <c r="E557" s="24"/>
      <c r="F557" s="24"/>
      <c r="G557" s="24" t="s">
        <v>1834</v>
      </c>
      <c r="H557" s="24"/>
      <c r="I557" s="24"/>
    </row>
    <row r="558" spans="1:9">
      <c r="A558" s="24"/>
      <c r="C558" s="24"/>
      <c r="D558" s="24"/>
      <c r="E558" s="24"/>
      <c r="F558" s="24"/>
      <c r="G558" s="24" t="s">
        <v>1835</v>
      </c>
      <c r="H558" s="24"/>
      <c r="I558" s="24"/>
    </row>
    <row r="559" spans="1:9">
      <c r="A559" s="24"/>
      <c r="C559" s="24"/>
      <c r="D559" s="24"/>
      <c r="E559" s="24"/>
      <c r="F559" s="24"/>
      <c r="G559" s="24" t="s">
        <v>1836</v>
      </c>
      <c r="H559" s="24"/>
      <c r="I559" s="24"/>
    </row>
    <row r="560" spans="1:9">
      <c r="A560" s="24"/>
      <c r="C560" s="24"/>
      <c r="D560" s="24"/>
      <c r="E560" s="24"/>
      <c r="F560" s="24"/>
      <c r="G560" s="24" t="s">
        <v>1837</v>
      </c>
      <c r="H560" s="24"/>
      <c r="I560" s="24"/>
    </row>
    <row r="561" spans="1:9">
      <c r="A561" s="24"/>
      <c r="C561" s="24"/>
      <c r="D561" s="24"/>
      <c r="E561" s="24"/>
      <c r="F561" s="24"/>
      <c r="G561" s="24" t="s">
        <v>1838</v>
      </c>
      <c r="H561" s="24"/>
      <c r="I561" s="24"/>
    </row>
    <row r="562" spans="1:9" ht="26.4">
      <c r="A562" s="24"/>
      <c r="C562" s="24"/>
      <c r="D562" s="24"/>
      <c r="E562" s="24"/>
      <c r="F562" s="24"/>
      <c r="G562" s="24" t="s">
        <v>1839</v>
      </c>
      <c r="H562" s="24"/>
      <c r="I562" s="24"/>
    </row>
    <row r="563" spans="1:9">
      <c r="A563" s="24"/>
      <c r="C563" s="24"/>
      <c r="D563" s="24"/>
      <c r="E563" s="24"/>
      <c r="F563" s="24"/>
      <c r="G563" s="24" t="s">
        <v>1840</v>
      </c>
      <c r="H563" s="24"/>
      <c r="I563" s="24"/>
    </row>
    <row r="564" spans="1:9">
      <c r="A564" s="24"/>
      <c r="C564" s="24"/>
      <c r="D564" s="24"/>
      <c r="E564" s="24"/>
      <c r="F564" s="24"/>
      <c r="G564" s="24" t="s">
        <v>1841</v>
      </c>
      <c r="H564" s="24"/>
      <c r="I564" s="24"/>
    </row>
    <row r="565" spans="1:9">
      <c r="A565" s="24"/>
      <c r="C565" s="24"/>
      <c r="D565" s="24"/>
      <c r="E565" s="24"/>
      <c r="F565" s="24"/>
      <c r="G565" s="24" t="s">
        <v>1842</v>
      </c>
      <c r="H565" s="24"/>
      <c r="I565" s="24"/>
    </row>
    <row r="566" spans="1:9">
      <c r="A566" s="24"/>
      <c r="C566" s="24"/>
      <c r="D566" s="24"/>
      <c r="E566" s="24"/>
      <c r="F566" s="24"/>
      <c r="G566" s="24"/>
      <c r="H566" s="24"/>
      <c r="I566" s="24"/>
    </row>
    <row r="567" spans="1:9" ht="26.4">
      <c r="A567" s="24"/>
      <c r="D567" s="23" t="s">
        <v>1843</v>
      </c>
      <c r="E567" s="24" t="s">
        <v>151</v>
      </c>
      <c r="F567" s="24" t="s">
        <v>377</v>
      </c>
      <c r="G567" s="24" t="s">
        <v>1844</v>
      </c>
      <c r="H567" s="24" t="s">
        <v>1576</v>
      </c>
      <c r="I567" s="24"/>
    </row>
    <row r="568" spans="1:9">
      <c r="A568" s="24"/>
      <c r="E568" s="24"/>
      <c r="F568" s="24"/>
      <c r="G568" s="24" t="s">
        <v>1845</v>
      </c>
      <c r="H568" s="24"/>
      <c r="I568" s="24"/>
    </row>
    <row r="569" spans="1:9">
      <c r="A569" s="24"/>
      <c r="E569" s="24"/>
      <c r="F569" s="24"/>
      <c r="G569" s="24" t="s">
        <v>1833</v>
      </c>
      <c r="H569" s="24"/>
      <c r="I569" s="24"/>
    </row>
    <row r="570" spans="1:9">
      <c r="A570" s="24"/>
      <c r="E570" s="24"/>
      <c r="F570" s="24"/>
      <c r="G570" s="24" t="s">
        <v>1834</v>
      </c>
      <c r="H570" s="24"/>
      <c r="I570" s="24"/>
    </row>
    <row r="571" spans="1:9">
      <c r="A571" s="24"/>
      <c r="E571" s="24"/>
      <c r="F571" s="24"/>
      <c r="G571" s="24" t="s">
        <v>1835</v>
      </c>
      <c r="H571" s="24"/>
      <c r="I571" s="24"/>
    </row>
    <row r="572" spans="1:9">
      <c r="A572" s="24"/>
      <c r="E572" s="24"/>
      <c r="F572" s="24"/>
      <c r="G572" s="24" t="s">
        <v>1836</v>
      </c>
      <c r="H572" s="24"/>
      <c r="I572" s="24"/>
    </row>
    <row r="573" spans="1:9">
      <c r="A573" s="24"/>
      <c r="E573" s="24"/>
      <c r="F573" s="24"/>
      <c r="G573" s="24" t="s">
        <v>1846</v>
      </c>
      <c r="H573" s="24"/>
      <c r="I573" s="24"/>
    </row>
    <row r="574" spans="1:9">
      <c r="A574" s="24"/>
      <c r="E574" s="24"/>
      <c r="F574" s="24"/>
      <c r="G574" s="24" t="s">
        <v>1847</v>
      </c>
      <c r="H574" s="24"/>
      <c r="I574" s="24"/>
    </row>
    <row r="575" spans="1:9" ht="26.4">
      <c r="A575" s="24"/>
      <c r="E575" s="24"/>
      <c r="F575" s="24"/>
      <c r="G575" s="24" t="s">
        <v>1848</v>
      </c>
      <c r="H575" s="24"/>
      <c r="I575" s="24"/>
    </row>
    <row r="576" spans="1:9">
      <c r="A576" s="24"/>
      <c r="E576" s="24"/>
      <c r="F576" s="24"/>
      <c r="G576" s="24" t="s">
        <v>1849</v>
      </c>
      <c r="H576" s="24"/>
      <c r="I576" s="24"/>
    </row>
    <row r="577" spans="1:9">
      <c r="A577" s="24"/>
      <c r="E577" s="24"/>
      <c r="F577" s="24"/>
      <c r="G577" s="24" t="s">
        <v>1850</v>
      </c>
      <c r="H577" s="24"/>
      <c r="I577" s="24"/>
    </row>
    <row r="578" spans="1:9" ht="26.4">
      <c r="A578" s="24"/>
      <c r="C578" s="24"/>
      <c r="D578" s="24" t="s">
        <v>1851</v>
      </c>
      <c r="E578" s="24" t="s">
        <v>151</v>
      </c>
      <c r="F578" s="24" t="s">
        <v>379</v>
      </c>
      <c r="G578" s="24" t="s">
        <v>1852</v>
      </c>
      <c r="H578" s="24" t="s">
        <v>1853</v>
      </c>
      <c r="I578" s="24"/>
    </row>
    <row r="579" spans="1:9">
      <c r="A579" s="24"/>
      <c r="C579" s="24"/>
      <c r="D579" s="24"/>
      <c r="E579" s="24"/>
      <c r="F579" s="24"/>
      <c r="G579" s="24" t="s">
        <v>1845</v>
      </c>
      <c r="H579" s="24"/>
      <c r="I579" s="24"/>
    </row>
    <row r="580" spans="1:9">
      <c r="A580" s="24"/>
      <c r="C580" s="24"/>
      <c r="D580" s="24"/>
      <c r="E580" s="24"/>
      <c r="F580" s="24"/>
      <c r="G580" s="24" t="s">
        <v>1833</v>
      </c>
      <c r="H580" s="24"/>
      <c r="I580" s="24"/>
    </row>
    <row r="581" spans="1:9">
      <c r="A581" s="24"/>
      <c r="C581" s="24"/>
      <c r="D581" s="24"/>
      <c r="E581" s="24"/>
      <c r="F581" s="24"/>
      <c r="G581" s="24" t="s">
        <v>1834</v>
      </c>
      <c r="H581" s="24"/>
      <c r="I581" s="24"/>
    </row>
    <row r="582" spans="1:9">
      <c r="A582" s="24"/>
      <c r="C582" s="24"/>
      <c r="D582" s="24"/>
      <c r="E582" s="24"/>
      <c r="F582" s="24"/>
      <c r="G582" s="24" t="s">
        <v>1835</v>
      </c>
      <c r="H582" s="24"/>
      <c r="I582" s="24"/>
    </row>
    <row r="583" spans="1:9">
      <c r="A583" s="24"/>
      <c r="C583" s="24"/>
      <c r="D583" s="24"/>
      <c r="E583" s="24"/>
      <c r="F583" s="24"/>
      <c r="G583" s="24" t="s">
        <v>1836</v>
      </c>
      <c r="H583" s="24"/>
      <c r="I583" s="24"/>
    </row>
    <row r="584" spans="1:9">
      <c r="A584" s="24"/>
      <c r="C584" s="24"/>
      <c r="D584" s="24"/>
      <c r="E584" s="24"/>
      <c r="F584" s="24"/>
      <c r="G584" s="24" t="s">
        <v>1846</v>
      </c>
      <c r="H584" s="24"/>
      <c r="I584" s="24"/>
    </row>
    <row r="585" spans="1:9">
      <c r="A585" s="24"/>
      <c r="C585" s="24"/>
      <c r="D585" s="24"/>
      <c r="E585" s="24"/>
      <c r="F585" s="24"/>
      <c r="G585" s="24" t="s">
        <v>1854</v>
      </c>
      <c r="H585" s="24"/>
      <c r="I585" s="24"/>
    </row>
    <row r="586" spans="1:9" ht="26.4">
      <c r="A586" s="24"/>
      <c r="C586" s="24"/>
      <c r="D586" s="24"/>
      <c r="E586" s="24"/>
      <c r="F586" s="24"/>
      <c r="G586" s="24" t="s">
        <v>1855</v>
      </c>
      <c r="H586" s="24"/>
      <c r="I586" s="24"/>
    </row>
    <row r="587" spans="1:9">
      <c r="A587" s="24"/>
      <c r="C587" s="24"/>
      <c r="D587" s="24"/>
      <c r="E587" s="24"/>
      <c r="F587" s="24"/>
      <c r="G587" s="24" t="s">
        <v>1856</v>
      </c>
      <c r="H587" s="24"/>
      <c r="I587" s="24"/>
    </row>
    <row r="588" spans="1:9">
      <c r="A588" s="24"/>
      <c r="C588" s="24"/>
      <c r="D588" s="24"/>
      <c r="E588" s="24"/>
      <c r="F588" s="24"/>
      <c r="G588" s="24" t="s">
        <v>1857</v>
      </c>
      <c r="H588" s="24"/>
      <c r="I588" s="24"/>
    </row>
    <row r="589" spans="1:9">
      <c r="A589" s="24"/>
      <c r="C589" s="24"/>
      <c r="D589" s="24" t="s">
        <v>1858</v>
      </c>
      <c r="E589" s="24" t="s">
        <v>163</v>
      </c>
      <c r="F589" s="24" t="s">
        <v>380</v>
      </c>
      <c r="G589" s="24" t="s">
        <v>1859</v>
      </c>
      <c r="H589" s="24"/>
      <c r="I589" s="24"/>
    </row>
    <row r="590" spans="1:9">
      <c r="A590" s="24"/>
      <c r="C590" s="24"/>
      <c r="D590" s="24"/>
      <c r="E590" s="24"/>
      <c r="F590" s="24"/>
      <c r="G590" s="24" t="s">
        <v>1860</v>
      </c>
      <c r="H590" s="24"/>
      <c r="I590" s="24"/>
    </row>
    <row r="591" spans="1:9">
      <c r="A591" s="24"/>
      <c r="C591" s="24"/>
      <c r="D591" s="24"/>
      <c r="E591" s="24"/>
      <c r="F591" s="24"/>
      <c r="G591" s="24" t="s">
        <v>1861</v>
      </c>
      <c r="H591" s="24"/>
      <c r="I591" s="24"/>
    </row>
    <row r="592" spans="1:9">
      <c r="A592" s="24"/>
      <c r="C592" s="24"/>
      <c r="D592" s="24"/>
      <c r="E592" s="24"/>
      <c r="F592" s="24"/>
      <c r="G592" s="24" t="s">
        <v>1862</v>
      </c>
      <c r="H592" s="24"/>
      <c r="I592" s="24"/>
    </row>
    <row r="593" spans="1:9">
      <c r="A593" s="24"/>
      <c r="C593" s="24"/>
      <c r="D593" s="24"/>
      <c r="E593" s="24"/>
      <c r="F593" s="24"/>
      <c r="G593" s="24" t="s">
        <v>1863</v>
      </c>
      <c r="H593" s="24"/>
      <c r="I593" s="24"/>
    </row>
    <row r="594" spans="1:9">
      <c r="A594" s="24"/>
      <c r="C594" s="24"/>
      <c r="D594" s="24"/>
      <c r="E594" s="24"/>
      <c r="F594" s="24"/>
      <c r="G594" s="24" t="s">
        <v>1864</v>
      </c>
      <c r="H594" s="24"/>
      <c r="I594" s="24"/>
    </row>
    <row r="595" spans="1:9">
      <c r="A595" s="24"/>
      <c r="C595" s="24"/>
      <c r="D595" s="24"/>
      <c r="E595" s="24"/>
      <c r="F595" s="24"/>
      <c r="G595" s="24" t="s">
        <v>1865</v>
      </c>
      <c r="H595" s="24"/>
      <c r="I595" s="24"/>
    </row>
    <row r="596" spans="1:9">
      <c r="A596" s="24"/>
      <c r="C596" s="24"/>
      <c r="D596" s="24"/>
      <c r="E596" s="24"/>
      <c r="F596" s="24"/>
      <c r="G596" s="24" t="s">
        <v>1866</v>
      </c>
      <c r="H596" s="24"/>
      <c r="I596" s="24"/>
    </row>
    <row r="597" spans="1:9">
      <c r="A597" s="24"/>
      <c r="C597" s="24"/>
      <c r="D597" s="24"/>
      <c r="E597" s="24"/>
      <c r="F597" s="24"/>
      <c r="G597" s="24" t="s">
        <v>1867</v>
      </c>
      <c r="H597" s="24"/>
      <c r="I597" s="24"/>
    </row>
    <row r="598" spans="1:9">
      <c r="A598" s="24"/>
      <c r="C598" s="24"/>
      <c r="D598" s="24"/>
      <c r="E598" s="24"/>
      <c r="F598" s="24"/>
      <c r="G598" s="24" t="s">
        <v>1868</v>
      </c>
      <c r="H598" s="24"/>
      <c r="I598" s="24"/>
    </row>
    <row r="599" spans="1:9">
      <c r="A599" s="24"/>
      <c r="C599" s="24"/>
      <c r="D599" s="24"/>
      <c r="E599" s="24"/>
      <c r="F599" s="24"/>
      <c r="G599" s="24" t="s">
        <v>1869</v>
      </c>
      <c r="H599" s="24"/>
      <c r="I599" s="24"/>
    </row>
    <row r="600" spans="1:9">
      <c r="A600" s="24"/>
      <c r="C600" s="24"/>
      <c r="D600" s="24"/>
      <c r="E600" s="24"/>
      <c r="F600" s="24"/>
      <c r="G600" s="24" t="s">
        <v>1870</v>
      </c>
      <c r="H600" s="24"/>
      <c r="I600" s="24"/>
    </row>
    <row r="601" spans="1:9">
      <c r="A601" s="24"/>
      <c r="C601" s="24"/>
      <c r="D601" s="24"/>
      <c r="E601" s="24"/>
      <c r="F601" s="24"/>
      <c r="G601" s="24" t="s">
        <v>1871</v>
      </c>
      <c r="H601" s="24"/>
      <c r="I601" s="24"/>
    </row>
    <row r="602" spans="1:9">
      <c r="A602" s="24"/>
      <c r="C602" s="24"/>
      <c r="D602" s="24"/>
      <c r="E602" s="24"/>
      <c r="F602" s="24"/>
      <c r="G602" s="24" t="s">
        <v>1872</v>
      </c>
      <c r="H602" s="24"/>
      <c r="I602" s="24"/>
    </row>
    <row r="603" spans="1:9">
      <c r="A603" s="24"/>
      <c r="C603" s="24"/>
      <c r="D603" s="24"/>
      <c r="E603" s="24"/>
      <c r="F603" s="24"/>
      <c r="G603" s="24" t="s">
        <v>1873</v>
      </c>
      <c r="H603" s="24"/>
      <c r="I603" s="24"/>
    </row>
    <row r="604" spans="1:9">
      <c r="A604" s="24"/>
      <c r="C604" s="24"/>
      <c r="D604" s="24"/>
      <c r="E604" s="24"/>
      <c r="F604" s="24"/>
      <c r="G604" s="24" t="s">
        <v>1874</v>
      </c>
      <c r="H604" s="24"/>
      <c r="I604" s="24"/>
    </row>
    <row r="605" spans="1:9">
      <c r="A605" s="24"/>
      <c r="C605" s="24"/>
      <c r="D605" s="24" t="s">
        <v>1875</v>
      </c>
      <c r="E605" s="24" t="s">
        <v>163</v>
      </c>
      <c r="F605" s="24" t="s">
        <v>383</v>
      </c>
      <c r="G605" s="24" t="s">
        <v>1876</v>
      </c>
      <c r="H605" s="24"/>
      <c r="I605" s="24"/>
    </row>
    <row r="606" spans="1:9">
      <c r="A606" s="24"/>
      <c r="C606" s="24"/>
      <c r="D606" s="24"/>
      <c r="E606" s="24"/>
      <c r="F606" s="24"/>
      <c r="G606" s="24" t="s">
        <v>1877</v>
      </c>
      <c r="H606" s="24"/>
      <c r="I606" s="24"/>
    </row>
    <row r="607" spans="1:9">
      <c r="A607" s="24"/>
      <c r="C607" s="24"/>
      <c r="D607" s="24"/>
      <c r="E607" s="24"/>
      <c r="F607" s="24"/>
      <c r="G607" s="24" t="s">
        <v>1878</v>
      </c>
      <c r="H607" s="24"/>
      <c r="I607" s="24"/>
    </row>
    <row r="608" spans="1:9">
      <c r="A608" s="24"/>
      <c r="C608" s="24"/>
      <c r="D608" s="24"/>
      <c r="E608" s="24"/>
      <c r="F608" s="24"/>
      <c r="G608" s="24" t="s">
        <v>1879</v>
      </c>
      <c r="H608" s="24"/>
      <c r="I608" s="24"/>
    </row>
    <row r="609" spans="1:9">
      <c r="A609" s="24"/>
      <c r="C609" s="24"/>
      <c r="D609" s="24"/>
      <c r="E609" s="24"/>
      <c r="F609" s="24"/>
      <c r="G609" s="24" t="s">
        <v>1880</v>
      </c>
      <c r="H609" s="24"/>
      <c r="I609" s="24"/>
    </row>
    <row r="610" spans="1:9">
      <c r="A610" s="24"/>
      <c r="C610" s="24"/>
      <c r="D610" s="24"/>
      <c r="E610" s="24"/>
      <c r="F610" s="24"/>
      <c r="G610" s="24" t="s">
        <v>1881</v>
      </c>
      <c r="H610" s="24"/>
      <c r="I610" s="24"/>
    </row>
    <row r="611" spans="1:9">
      <c r="A611" s="24"/>
      <c r="C611" s="24"/>
      <c r="D611" s="24"/>
      <c r="E611" s="24"/>
      <c r="F611" s="24"/>
      <c r="G611" s="24" t="s">
        <v>1882</v>
      </c>
      <c r="H611" s="24"/>
      <c r="I611" s="24"/>
    </row>
    <row r="612" spans="1:9">
      <c r="A612" s="24"/>
      <c r="C612" s="24"/>
      <c r="D612" s="24"/>
      <c r="E612" s="24"/>
      <c r="F612" s="24"/>
      <c r="G612" s="24" t="s">
        <v>1883</v>
      </c>
      <c r="H612" s="24"/>
      <c r="I612" s="24"/>
    </row>
    <row r="613" spans="1:9" ht="26.4">
      <c r="A613" s="24"/>
      <c r="C613" s="24"/>
      <c r="D613" s="23" t="s">
        <v>1884</v>
      </c>
      <c r="E613" s="24" t="s">
        <v>151</v>
      </c>
      <c r="F613" s="24" t="s">
        <v>386</v>
      </c>
      <c r="G613" s="24" t="s">
        <v>1852</v>
      </c>
      <c r="H613" s="24" t="s">
        <v>1576</v>
      </c>
      <c r="I613" s="24"/>
    </row>
    <row r="614" spans="1:9">
      <c r="A614" s="24"/>
      <c r="C614" s="24"/>
      <c r="E614" s="24"/>
      <c r="F614" s="24"/>
      <c r="G614" s="24" t="s">
        <v>1845</v>
      </c>
      <c r="H614" s="24"/>
      <c r="I614" s="24"/>
    </row>
    <row r="615" spans="1:9">
      <c r="A615" s="24"/>
      <c r="C615" s="24"/>
      <c r="E615" s="24"/>
      <c r="F615" s="24"/>
      <c r="G615" s="24" t="s">
        <v>1833</v>
      </c>
      <c r="H615" s="24"/>
      <c r="I615" s="24"/>
    </row>
    <row r="616" spans="1:9">
      <c r="A616" s="24"/>
      <c r="C616" s="24"/>
      <c r="E616" s="24"/>
      <c r="F616" s="24"/>
      <c r="G616" s="24" t="s">
        <v>1834</v>
      </c>
      <c r="H616" s="24"/>
      <c r="I616" s="24"/>
    </row>
    <row r="617" spans="1:9">
      <c r="A617" s="24"/>
      <c r="C617" s="24"/>
      <c r="E617" s="24"/>
      <c r="F617" s="24"/>
      <c r="G617" s="24" t="s">
        <v>1835</v>
      </c>
      <c r="H617" s="24"/>
      <c r="I617" s="24"/>
    </row>
    <row r="618" spans="1:9">
      <c r="A618" s="24"/>
      <c r="C618" s="24"/>
      <c r="E618" s="24"/>
      <c r="F618" s="24"/>
      <c r="G618" s="24" t="s">
        <v>1836</v>
      </c>
      <c r="H618" s="24"/>
      <c r="I618" s="24"/>
    </row>
    <row r="619" spans="1:9">
      <c r="A619" s="24"/>
      <c r="C619" s="24"/>
      <c r="E619" s="24"/>
      <c r="F619" s="24"/>
      <c r="G619" s="24" t="s">
        <v>1846</v>
      </c>
      <c r="H619" s="24"/>
      <c r="I619" s="24"/>
    </row>
    <row r="620" spans="1:9">
      <c r="A620" s="24"/>
      <c r="C620" s="24"/>
      <c r="E620" s="24"/>
      <c r="F620" s="24"/>
      <c r="G620" s="24" t="s">
        <v>1854</v>
      </c>
      <c r="H620" s="24"/>
      <c r="I620" s="24"/>
    </row>
    <row r="621" spans="1:9" ht="26.4">
      <c r="A621" s="24"/>
      <c r="C621" s="24"/>
      <c r="E621" s="24"/>
      <c r="F621" s="24"/>
      <c r="G621" s="24" t="s">
        <v>1855</v>
      </c>
      <c r="H621" s="24"/>
      <c r="I621" s="24"/>
    </row>
    <row r="622" spans="1:9">
      <c r="A622" s="24"/>
      <c r="C622" s="24"/>
      <c r="E622" s="24"/>
      <c r="F622" s="24"/>
      <c r="G622" s="24" t="s">
        <v>1856</v>
      </c>
      <c r="H622" s="24"/>
      <c r="I622" s="24"/>
    </row>
    <row r="623" spans="1:9">
      <c r="A623" s="24"/>
      <c r="C623" s="24"/>
      <c r="E623" s="24"/>
      <c r="F623" s="24"/>
      <c r="G623" s="24" t="s">
        <v>1857</v>
      </c>
      <c r="H623" s="24"/>
      <c r="I623" s="24"/>
    </row>
    <row r="624" spans="1:9" ht="26.4">
      <c r="A624" s="24"/>
      <c r="C624" s="24"/>
      <c r="D624" s="24" t="s">
        <v>1885</v>
      </c>
      <c r="E624" s="24" t="s">
        <v>151</v>
      </c>
      <c r="F624" s="24" t="s">
        <v>387</v>
      </c>
      <c r="G624" s="24" t="s">
        <v>1852</v>
      </c>
      <c r="H624" s="24" t="s">
        <v>1853</v>
      </c>
      <c r="I624" s="24"/>
    </row>
    <row r="625" spans="1:9">
      <c r="A625" s="24"/>
      <c r="C625" s="24"/>
      <c r="D625" s="24"/>
      <c r="E625" s="24"/>
      <c r="F625" s="24"/>
      <c r="G625" s="24" t="s">
        <v>1845</v>
      </c>
      <c r="H625" s="24"/>
      <c r="I625" s="24"/>
    </row>
    <row r="626" spans="1:9">
      <c r="A626" s="24"/>
      <c r="C626" s="24"/>
      <c r="D626" s="24"/>
      <c r="E626" s="24"/>
      <c r="F626" s="24"/>
      <c r="G626" s="24" t="s">
        <v>1833</v>
      </c>
      <c r="H626" s="24"/>
      <c r="I626" s="24"/>
    </row>
    <row r="627" spans="1:9">
      <c r="A627" s="24"/>
      <c r="C627" s="24"/>
      <c r="D627" s="24"/>
      <c r="E627" s="24"/>
      <c r="F627" s="24"/>
      <c r="G627" s="24" t="s">
        <v>1834</v>
      </c>
      <c r="H627" s="24"/>
      <c r="I627" s="24"/>
    </row>
    <row r="628" spans="1:9">
      <c r="A628" s="24"/>
      <c r="C628" s="24"/>
      <c r="D628" s="24"/>
      <c r="E628" s="24"/>
      <c r="F628" s="24"/>
      <c r="G628" s="24" t="s">
        <v>1835</v>
      </c>
      <c r="H628" s="24"/>
      <c r="I628" s="24"/>
    </row>
    <row r="629" spans="1:9">
      <c r="A629" s="24"/>
      <c r="C629" s="24"/>
      <c r="D629" s="24"/>
      <c r="E629" s="24"/>
      <c r="F629" s="24"/>
      <c r="G629" s="24" t="s">
        <v>1836</v>
      </c>
      <c r="H629" s="24"/>
      <c r="I629" s="24"/>
    </row>
    <row r="630" spans="1:9">
      <c r="A630" s="24"/>
      <c r="C630" s="24"/>
      <c r="D630" s="24"/>
      <c r="E630" s="24"/>
      <c r="F630" s="24"/>
      <c r="G630" s="24" t="s">
        <v>1846</v>
      </c>
      <c r="H630" s="24"/>
      <c r="I630" s="24"/>
    </row>
    <row r="631" spans="1:9">
      <c r="A631" s="24"/>
      <c r="C631" s="24"/>
      <c r="D631" s="24"/>
      <c r="E631" s="24"/>
      <c r="F631" s="24"/>
      <c r="G631" s="24" t="s">
        <v>1854</v>
      </c>
      <c r="H631" s="24"/>
      <c r="I631" s="24"/>
    </row>
    <row r="632" spans="1:9" ht="26.4">
      <c r="A632" s="24"/>
      <c r="C632" s="24"/>
      <c r="D632" s="24"/>
      <c r="E632" s="24"/>
      <c r="F632" s="24"/>
      <c r="G632" s="24" t="s">
        <v>1855</v>
      </c>
      <c r="H632" s="24"/>
      <c r="I632" s="24"/>
    </row>
    <row r="633" spans="1:9">
      <c r="A633" s="24"/>
      <c r="C633" s="24"/>
      <c r="D633" s="24"/>
      <c r="E633" s="24"/>
      <c r="F633" s="24"/>
      <c r="G633" s="24" t="s">
        <v>1856</v>
      </c>
      <c r="H633" s="24"/>
      <c r="I633" s="24"/>
    </row>
    <row r="634" spans="1:9">
      <c r="A634" s="24"/>
      <c r="C634" s="24"/>
      <c r="D634" s="24"/>
      <c r="E634" s="24"/>
      <c r="F634" s="24"/>
      <c r="G634" s="24" t="s">
        <v>1857</v>
      </c>
      <c r="H634" s="24"/>
      <c r="I634" s="24"/>
    </row>
    <row r="635" spans="1:9">
      <c r="C635" s="24"/>
      <c r="D635" s="23" t="s">
        <v>1886</v>
      </c>
      <c r="E635" s="23" t="s">
        <v>163</v>
      </c>
      <c r="F635" s="23" t="s">
        <v>388</v>
      </c>
      <c r="G635" s="24" t="s">
        <v>1539</v>
      </c>
      <c r="H635" s="24"/>
      <c r="I635" s="24"/>
    </row>
    <row r="636" spans="1:9">
      <c r="C636" s="24"/>
      <c r="G636" s="24" t="s">
        <v>1540</v>
      </c>
      <c r="H636" s="24"/>
      <c r="I636" s="24"/>
    </row>
    <row r="637" spans="1:9">
      <c r="D637" s="23" t="s">
        <v>1887</v>
      </c>
      <c r="E637" s="23" t="s">
        <v>163</v>
      </c>
      <c r="F637" s="24" t="s">
        <v>1888</v>
      </c>
      <c r="G637" s="24" t="s">
        <v>1889</v>
      </c>
      <c r="H637" s="24"/>
      <c r="I637" s="24"/>
    </row>
    <row r="638" spans="1:9">
      <c r="F638" s="24"/>
      <c r="G638" s="24" t="s">
        <v>1890</v>
      </c>
      <c r="H638" s="24"/>
      <c r="I638" s="24"/>
    </row>
    <row r="639" spans="1:9">
      <c r="F639" s="24"/>
      <c r="G639" s="24" t="s">
        <v>1891</v>
      </c>
      <c r="H639" s="24"/>
      <c r="I639" s="24"/>
    </row>
    <row r="640" spans="1:9">
      <c r="F640" s="24"/>
      <c r="G640" s="24" t="s">
        <v>1892</v>
      </c>
      <c r="H640" s="24"/>
      <c r="I640" s="24"/>
    </row>
    <row r="641" spans="4:9">
      <c r="F641" s="24"/>
      <c r="G641" s="24" t="s">
        <v>1893</v>
      </c>
      <c r="H641" s="24"/>
      <c r="I641" s="24"/>
    </row>
    <row r="642" spans="4:9">
      <c r="F642" s="24"/>
      <c r="G642" s="24" t="s">
        <v>1894</v>
      </c>
      <c r="H642" s="24"/>
      <c r="I642" s="24"/>
    </row>
    <row r="643" spans="4:9">
      <c r="D643" s="23" t="s">
        <v>1895</v>
      </c>
      <c r="E643" s="23" t="s">
        <v>163</v>
      </c>
      <c r="F643" s="24" t="s">
        <v>1888</v>
      </c>
      <c r="G643" s="24" t="s">
        <v>1889</v>
      </c>
      <c r="H643" s="24"/>
      <c r="I643" s="24"/>
    </row>
    <row r="644" spans="4:9">
      <c r="F644" s="24"/>
      <c r="G644" s="24" t="s">
        <v>1890</v>
      </c>
      <c r="H644" s="24"/>
      <c r="I644" s="24"/>
    </row>
    <row r="645" spans="4:9">
      <c r="F645" s="24"/>
      <c r="G645" s="24" t="s">
        <v>1891</v>
      </c>
      <c r="H645" s="24"/>
      <c r="I645" s="24"/>
    </row>
    <row r="646" spans="4:9">
      <c r="F646" s="24"/>
      <c r="G646" s="24" t="s">
        <v>1892</v>
      </c>
      <c r="H646" s="24"/>
      <c r="I646" s="24"/>
    </row>
    <row r="647" spans="4:9">
      <c r="F647" s="24"/>
      <c r="G647" s="24" t="s">
        <v>1893</v>
      </c>
      <c r="H647" s="24"/>
      <c r="I647" s="24"/>
    </row>
    <row r="648" spans="4:9">
      <c r="F648" s="24"/>
      <c r="G648" s="24" t="s">
        <v>1894</v>
      </c>
      <c r="H648" s="24"/>
      <c r="I648" s="24"/>
    </row>
    <row r="649" spans="4:9">
      <c r="D649" s="23" t="s">
        <v>1896</v>
      </c>
      <c r="E649" s="23" t="s">
        <v>145</v>
      </c>
      <c r="F649" s="24" t="s">
        <v>392</v>
      </c>
      <c r="G649" s="24" t="s">
        <v>1897</v>
      </c>
      <c r="H649" s="24"/>
      <c r="I649" s="24"/>
    </row>
    <row r="650" spans="4:9">
      <c r="F650" s="24"/>
      <c r="G650" s="24" t="s">
        <v>1898</v>
      </c>
      <c r="H650" s="24"/>
      <c r="I650" s="24"/>
    </row>
    <row r="651" spans="4:9">
      <c r="D651" s="23" t="s">
        <v>1899</v>
      </c>
      <c r="E651" s="23" t="s">
        <v>163</v>
      </c>
      <c r="F651" s="23" t="s">
        <v>394</v>
      </c>
      <c r="G651" s="24" t="s">
        <v>1539</v>
      </c>
      <c r="H651" s="24"/>
      <c r="I651" s="24"/>
    </row>
    <row r="652" spans="4:9">
      <c r="G652" s="24" t="s">
        <v>1540</v>
      </c>
      <c r="H652" s="24"/>
      <c r="I652" s="24"/>
    </row>
    <row r="653" spans="4:9">
      <c r="D653" s="23" t="s">
        <v>1900</v>
      </c>
      <c r="E653" s="23" t="s">
        <v>163</v>
      </c>
      <c r="F653" s="23" t="s">
        <v>395</v>
      </c>
      <c r="G653" s="24" t="s">
        <v>1901</v>
      </c>
      <c r="H653" s="24"/>
      <c r="I653" s="24"/>
    </row>
    <row r="654" spans="4:9">
      <c r="G654" s="24" t="s">
        <v>1902</v>
      </c>
      <c r="H654" s="24"/>
      <c r="I654" s="24"/>
    </row>
    <row r="655" spans="4:9">
      <c r="D655" s="23" t="s">
        <v>1903</v>
      </c>
      <c r="E655" s="23" t="s">
        <v>163</v>
      </c>
      <c r="F655" s="23" t="s">
        <v>397</v>
      </c>
      <c r="G655" s="24" t="s">
        <v>1539</v>
      </c>
      <c r="H655" s="24"/>
      <c r="I655" s="24"/>
    </row>
    <row r="656" spans="4:9">
      <c r="G656" s="24" t="s">
        <v>1540</v>
      </c>
      <c r="H656" s="24"/>
      <c r="I656" s="24"/>
    </row>
    <row r="657" spans="1:9">
      <c r="A657" s="24"/>
      <c r="C657" s="24"/>
      <c r="D657" s="24" t="s">
        <v>1904</v>
      </c>
      <c r="E657" s="24" t="s">
        <v>998</v>
      </c>
      <c r="F657" s="24" t="s">
        <v>398</v>
      </c>
      <c r="G657" s="24" t="s">
        <v>1905</v>
      </c>
      <c r="H657" s="24"/>
      <c r="I657" s="24"/>
    </row>
    <row r="658" spans="1:9">
      <c r="A658" s="24"/>
      <c r="C658" s="24"/>
      <c r="D658" s="24"/>
      <c r="E658" s="24"/>
      <c r="F658" s="24"/>
      <c r="G658" s="24" t="s">
        <v>1906</v>
      </c>
      <c r="H658" s="24"/>
      <c r="I658" s="24"/>
    </row>
    <row r="659" spans="1:9">
      <c r="A659" s="24"/>
      <c r="C659" s="24"/>
      <c r="D659" s="24"/>
      <c r="E659" s="24"/>
      <c r="F659" s="24"/>
      <c r="G659" s="24" t="s">
        <v>1907</v>
      </c>
      <c r="H659" s="24"/>
      <c r="I659" s="24"/>
    </row>
    <row r="660" spans="1:9">
      <c r="A660" s="24"/>
      <c r="C660" s="24"/>
      <c r="D660" s="24"/>
      <c r="E660" s="24"/>
      <c r="F660" s="24"/>
      <c r="G660" s="24" t="s">
        <v>1908</v>
      </c>
      <c r="H660" s="24"/>
      <c r="I660" s="24"/>
    </row>
    <row r="661" spans="1:9">
      <c r="A661" s="24"/>
      <c r="C661" s="24"/>
      <c r="D661" s="24"/>
      <c r="E661" s="24"/>
      <c r="F661" s="24"/>
      <c r="G661" s="24" t="s">
        <v>1909</v>
      </c>
      <c r="H661" s="24"/>
      <c r="I661" s="24"/>
    </row>
    <row r="662" spans="1:9">
      <c r="A662" s="24"/>
      <c r="C662" s="24"/>
      <c r="D662" s="24"/>
      <c r="E662" s="24"/>
      <c r="F662" s="24"/>
      <c r="G662" s="24" t="s">
        <v>1910</v>
      </c>
      <c r="H662" s="24"/>
      <c r="I662" s="24"/>
    </row>
    <row r="663" spans="1:9">
      <c r="A663" s="24"/>
      <c r="C663" s="24"/>
      <c r="D663" s="24"/>
      <c r="E663" s="24"/>
      <c r="F663" s="24"/>
      <c r="G663" s="24" t="s">
        <v>1911</v>
      </c>
      <c r="H663" s="24"/>
      <c r="I663" s="24"/>
    </row>
    <row r="664" spans="1:9">
      <c r="A664" s="24"/>
      <c r="C664" s="24"/>
      <c r="D664" s="24"/>
      <c r="E664" s="24"/>
      <c r="F664" s="24"/>
      <c r="G664" s="24" t="s">
        <v>1912</v>
      </c>
      <c r="H664" s="24"/>
      <c r="I664" s="24"/>
    </row>
    <row r="665" spans="1:9" ht="26.4">
      <c r="A665" s="24"/>
      <c r="C665" s="24"/>
      <c r="D665" s="24"/>
      <c r="E665" s="24"/>
      <c r="F665" s="24"/>
      <c r="G665" s="24" t="s">
        <v>1913</v>
      </c>
      <c r="H665" s="24"/>
      <c r="I665" s="24"/>
    </row>
    <row r="666" spans="1:9" ht="26.4">
      <c r="A666" s="24"/>
      <c r="C666" s="24"/>
      <c r="D666" s="24" t="s">
        <v>1914</v>
      </c>
      <c r="E666" s="24">
        <v>4</v>
      </c>
      <c r="F666" s="23" t="s">
        <v>1915</v>
      </c>
      <c r="G666" s="24" t="s">
        <v>1916</v>
      </c>
      <c r="H666" s="24"/>
      <c r="I666" s="24"/>
    </row>
    <row r="667" spans="1:9">
      <c r="A667" s="24"/>
      <c r="C667" s="24"/>
      <c r="D667" s="24"/>
      <c r="E667" s="24"/>
      <c r="G667" s="24" t="s">
        <v>1845</v>
      </c>
      <c r="H667" s="24"/>
      <c r="I667" s="24"/>
    </row>
    <row r="668" spans="1:9">
      <c r="A668" s="24"/>
      <c r="C668" s="24"/>
      <c r="D668" s="24"/>
      <c r="E668" s="24"/>
      <c r="G668" s="24" t="s">
        <v>1833</v>
      </c>
      <c r="H668" s="24"/>
      <c r="I668" s="24"/>
    </row>
    <row r="669" spans="1:9">
      <c r="A669" s="24"/>
      <c r="C669" s="24"/>
      <c r="D669" s="24"/>
      <c r="E669" s="24"/>
      <c r="G669" s="24" t="s">
        <v>1834</v>
      </c>
      <c r="H669" s="24"/>
      <c r="I669" s="24"/>
    </row>
    <row r="670" spans="1:9">
      <c r="A670" s="24"/>
      <c r="C670" s="24"/>
      <c r="D670" s="24"/>
      <c r="E670" s="24"/>
      <c r="G670" s="24" t="s">
        <v>1835</v>
      </c>
      <c r="H670" s="24"/>
      <c r="I670" s="24"/>
    </row>
    <row r="671" spans="1:9">
      <c r="A671" s="24"/>
      <c r="C671" s="24"/>
      <c r="D671" s="24"/>
      <c r="E671" s="24"/>
      <c r="G671" s="24" t="s">
        <v>1836</v>
      </c>
      <c r="H671" s="24"/>
      <c r="I671" s="24"/>
    </row>
    <row r="672" spans="1:9">
      <c r="A672" s="24"/>
      <c r="C672" s="24"/>
      <c r="D672" s="24"/>
      <c r="E672" s="24"/>
      <c r="G672" s="24" t="s">
        <v>1846</v>
      </c>
      <c r="H672" s="24"/>
      <c r="I672" s="24"/>
    </row>
    <row r="673" spans="1:9">
      <c r="A673" s="24"/>
      <c r="C673" s="24"/>
      <c r="D673" s="24"/>
      <c r="E673" s="24"/>
      <c r="G673" s="24" t="s">
        <v>1917</v>
      </c>
      <c r="H673" s="24"/>
      <c r="I673" s="24"/>
    </row>
    <row r="674" spans="1:9" ht="26.4">
      <c r="A674" s="24"/>
      <c r="C674" s="24"/>
      <c r="D674" s="24"/>
      <c r="E674" s="24"/>
      <c r="G674" s="24" t="s">
        <v>1918</v>
      </c>
      <c r="H674" s="24"/>
      <c r="I674" s="24"/>
    </row>
    <row r="675" spans="1:9">
      <c r="A675" s="24"/>
      <c r="C675" s="24"/>
      <c r="D675" s="24"/>
      <c r="E675" s="24"/>
      <c r="G675" s="24" t="s">
        <v>1919</v>
      </c>
      <c r="H675" s="24"/>
      <c r="I675" s="24"/>
    </row>
    <row r="676" spans="1:9">
      <c r="A676" s="24"/>
      <c r="C676" s="24"/>
      <c r="D676" s="24"/>
      <c r="E676" s="24"/>
      <c r="G676" s="24" t="s">
        <v>1920</v>
      </c>
      <c r="H676" s="24"/>
      <c r="I676" s="24"/>
    </row>
    <row r="677" spans="1:9">
      <c r="B677" s="26" t="s">
        <v>420</v>
      </c>
      <c r="C677" s="27"/>
      <c r="D677" s="27"/>
      <c r="E677" s="27"/>
      <c r="F677" s="27"/>
      <c r="G677" s="27"/>
      <c r="H677" s="24"/>
      <c r="I677" s="24"/>
    </row>
    <row r="678" spans="1:9">
      <c r="B678" s="26"/>
      <c r="C678" s="27"/>
      <c r="D678" s="23">
        <v>443</v>
      </c>
      <c r="E678" s="27"/>
      <c r="F678" s="27"/>
      <c r="G678" s="26"/>
      <c r="H678" s="24"/>
      <c r="I678" s="24"/>
    </row>
    <row r="679" spans="1:9">
      <c r="B679" s="26" t="s">
        <v>422</v>
      </c>
      <c r="C679" s="27"/>
      <c r="D679" s="27"/>
      <c r="E679" s="27"/>
      <c r="F679" s="27"/>
      <c r="G679" s="27"/>
      <c r="H679" s="24"/>
      <c r="I679" s="24"/>
    </row>
    <row r="680" spans="1:9">
      <c r="B680" s="26"/>
      <c r="C680" s="27"/>
      <c r="D680" s="23">
        <v>487</v>
      </c>
      <c r="E680" s="27"/>
      <c r="F680" s="27"/>
      <c r="G680" s="26"/>
      <c r="H680" s="24"/>
      <c r="I680" s="24"/>
    </row>
    <row r="681" spans="1:9">
      <c r="B681" s="26" t="s">
        <v>423</v>
      </c>
      <c r="C681" s="27"/>
      <c r="D681" s="27"/>
      <c r="E681" s="27"/>
      <c r="F681" s="27"/>
      <c r="G681" s="27"/>
      <c r="H681" s="24"/>
      <c r="I681" s="24"/>
    </row>
    <row r="682" spans="1:9">
      <c r="B682" s="26"/>
      <c r="C682" s="27"/>
      <c r="D682" s="23">
        <v>531</v>
      </c>
      <c r="E682" s="27"/>
      <c r="F682" s="27"/>
      <c r="G682" s="26"/>
      <c r="H682" s="24"/>
      <c r="I682" s="24"/>
    </row>
    <row r="683" spans="1:9">
      <c r="B683" s="26" t="s">
        <v>424</v>
      </c>
      <c r="C683" s="27"/>
      <c r="D683" s="27"/>
      <c r="E683" s="27"/>
      <c r="F683" s="27"/>
      <c r="G683" s="27"/>
      <c r="H683" s="24"/>
      <c r="I683" s="24"/>
    </row>
    <row r="684" spans="1:9">
      <c r="B684" s="26"/>
      <c r="C684" s="27"/>
      <c r="D684" s="23">
        <v>575</v>
      </c>
      <c r="E684" s="27"/>
      <c r="F684" s="27"/>
      <c r="G684" s="26"/>
      <c r="H684" s="24"/>
      <c r="I684" s="24"/>
    </row>
    <row r="685" spans="1:9">
      <c r="B685" s="26" t="s">
        <v>425</v>
      </c>
      <c r="C685" s="27"/>
      <c r="D685" s="27"/>
      <c r="E685" s="27"/>
      <c r="F685" s="27"/>
      <c r="G685" s="27"/>
      <c r="H685" s="24"/>
      <c r="I685" s="24"/>
    </row>
    <row r="686" spans="1:9">
      <c r="B686" s="26"/>
      <c r="C686" s="27"/>
      <c r="D686" s="23">
        <v>619</v>
      </c>
      <c r="E686" s="27"/>
      <c r="F686" s="27"/>
      <c r="G686" s="26"/>
      <c r="H686" s="24"/>
      <c r="I686" s="24"/>
    </row>
    <row r="687" spans="1:9">
      <c r="B687" s="26" t="s">
        <v>426</v>
      </c>
      <c r="C687" s="27"/>
      <c r="D687" s="27"/>
      <c r="E687" s="27"/>
      <c r="F687" s="27"/>
      <c r="G687" s="27"/>
      <c r="H687" s="24"/>
      <c r="I687" s="24"/>
    </row>
    <row r="688" spans="1:9">
      <c r="B688" s="26"/>
      <c r="C688" s="27"/>
      <c r="D688" s="23">
        <v>663</v>
      </c>
      <c r="E688" s="27"/>
      <c r="F688" s="27"/>
      <c r="G688" s="26"/>
      <c r="H688" s="24"/>
      <c r="I688" s="24"/>
    </row>
    <row r="689" spans="2:9">
      <c r="B689" s="26" t="s">
        <v>427</v>
      </c>
      <c r="C689" s="27"/>
      <c r="D689" s="27"/>
      <c r="E689" s="27"/>
      <c r="F689" s="27"/>
      <c r="G689" s="27"/>
      <c r="H689" s="24"/>
      <c r="I689" s="24"/>
    </row>
    <row r="690" spans="2:9">
      <c r="B690" s="26"/>
      <c r="C690" s="27"/>
      <c r="D690" s="23">
        <v>707</v>
      </c>
      <c r="E690" s="27"/>
      <c r="F690" s="27"/>
      <c r="G690" s="26"/>
      <c r="H690" s="24"/>
      <c r="I690" s="24"/>
    </row>
    <row r="691" spans="2:9">
      <c r="B691" s="26" t="s">
        <v>428</v>
      </c>
      <c r="C691" s="27"/>
      <c r="D691" s="27"/>
      <c r="E691" s="27"/>
      <c r="F691" s="27"/>
      <c r="G691" s="27"/>
      <c r="H691" s="24"/>
      <c r="I691" s="24"/>
    </row>
    <row r="692" spans="2:9">
      <c r="B692" s="26"/>
      <c r="C692" s="27"/>
      <c r="D692" s="23">
        <v>751</v>
      </c>
      <c r="E692" s="27"/>
      <c r="F692" s="27"/>
      <c r="G692" s="26"/>
      <c r="H692" s="24"/>
      <c r="I692" s="24"/>
    </row>
    <row r="693" spans="2:9">
      <c r="B693" s="26" t="s">
        <v>429</v>
      </c>
      <c r="C693" s="27"/>
      <c r="D693" s="27"/>
      <c r="E693" s="27"/>
      <c r="F693" s="27"/>
      <c r="G693" s="27"/>
      <c r="H693" s="24"/>
      <c r="I693" s="24"/>
    </row>
    <row r="694" spans="2:9">
      <c r="B694" s="26"/>
      <c r="C694" s="27"/>
      <c r="D694" s="23">
        <v>795</v>
      </c>
      <c r="E694" s="27"/>
      <c r="F694" s="27"/>
      <c r="G694" s="26"/>
      <c r="H694" s="24"/>
      <c r="I694" s="24"/>
    </row>
    <row r="695" spans="2:9">
      <c r="B695" s="26" t="s">
        <v>430</v>
      </c>
      <c r="C695" s="27"/>
      <c r="D695" s="27"/>
      <c r="E695" s="27"/>
      <c r="F695" s="27"/>
      <c r="G695" s="27"/>
      <c r="H695" s="24"/>
      <c r="I695" s="24"/>
    </row>
    <row r="696" spans="2:9">
      <c r="B696" s="26"/>
      <c r="C696" s="27"/>
      <c r="D696" s="23">
        <v>839</v>
      </c>
      <c r="E696" s="27"/>
      <c r="F696" s="27"/>
      <c r="G696" s="26"/>
      <c r="H696" s="24"/>
      <c r="I696" s="24"/>
    </row>
    <row r="697" spans="2:9">
      <c r="B697" s="26" t="s">
        <v>431</v>
      </c>
      <c r="C697" s="27"/>
      <c r="D697" s="27"/>
      <c r="E697" s="27"/>
      <c r="F697" s="27"/>
      <c r="G697" s="27"/>
      <c r="H697" s="24"/>
      <c r="I697" s="24"/>
    </row>
    <row r="698" spans="2:9">
      <c r="B698" s="26"/>
      <c r="C698" s="27"/>
      <c r="D698" s="23">
        <v>883</v>
      </c>
      <c r="E698" s="27"/>
      <c r="F698" s="27"/>
      <c r="G698" s="26"/>
      <c r="H698" s="24"/>
      <c r="I698" s="24"/>
    </row>
    <row r="699" spans="2:9">
      <c r="B699" s="26" t="s">
        <v>432</v>
      </c>
      <c r="C699" s="27"/>
      <c r="D699" s="27"/>
      <c r="E699" s="27"/>
      <c r="F699" s="27"/>
      <c r="G699" s="27"/>
      <c r="H699" s="24"/>
      <c r="I699" s="24"/>
    </row>
    <row r="700" spans="2:9">
      <c r="B700" s="26"/>
      <c r="C700" s="27"/>
      <c r="D700" s="23">
        <v>927</v>
      </c>
      <c r="E700" s="27"/>
      <c r="F700" s="27"/>
      <c r="G700" s="26"/>
      <c r="H700" s="24"/>
      <c r="I700" s="24"/>
    </row>
    <row r="701" spans="2:9">
      <c r="B701" s="26" t="s">
        <v>433</v>
      </c>
      <c r="C701" s="27"/>
      <c r="D701" s="27"/>
      <c r="E701" s="27"/>
      <c r="F701" s="27"/>
      <c r="G701" s="27"/>
      <c r="H701" s="24"/>
      <c r="I701" s="24"/>
    </row>
    <row r="702" spans="2:9">
      <c r="B702" s="26"/>
      <c r="C702" s="27"/>
      <c r="D702" s="23">
        <v>971</v>
      </c>
      <c r="E702" s="27"/>
      <c r="F702" s="27"/>
      <c r="G702" s="26"/>
      <c r="H702" s="24"/>
      <c r="I702" s="24"/>
    </row>
    <row r="703" spans="2:9">
      <c r="B703" s="26" t="s">
        <v>434</v>
      </c>
      <c r="C703" s="27"/>
      <c r="D703" s="27"/>
      <c r="E703" s="27"/>
      <c r="F703" s="27"/>
      <c r="G703" s="27"/>
      <c r="H703" s="24"/>
      <c r="I703" s="24"/>
    </row>
    <row r="704" spans="2:9">
      <c r="B704" s="26"/>
      <c r="C704" s="27"/>
      <c r="D704" s="23">
        <v>1015</v>
      </c>
      <c r="E704" s="27"/>
      <c r="F704" s="27"/>
      <c r="G704" s="26"/>
      <c r="H704" s="24"/>
      <c r="I704" s="24"/>
    </row>
    <row r="705" spans="2:9">
      <c r="B705" s="26" t="s">
        <v>435</v>
      </c>
      <c r="C705" s="27"/>
      <c r="D705" s="27"/>
      <c r="E705" s="27"/>
      <c r="F705" s="27"/>
      <c r="G705" s="27"/>
      <c r="H705" s="24"/>
      <c r="I705" s="24"/>
    </row>
    <row r="706" spans="2:9">
      <c r="B706" s="26"/>
      <c r="C706" s="27"/>
      <c r="D706" s="23">
        <v>1059</v>
      </c>
      <c r="E706" s="27"/>
      <c r="F706" s="27"/>
      <c r="G706" s="26"/>
      <c r="H706" s="24"/>
      <c r="I706" s="24"/>
    </row>
    <row r="707" spans="2:9">
      <c r="B707" s="26" t="s">
        <v>436</v>
      </c>
      <c r="C707" s="27"/>
      <c r="D707" s="27"/>
      <c r="E707" s="27"/>
      <c r="F707" s="27"/>
      <c r="G707" s="27"/>
      <c r="H707" s="24"/>
      <c r="I707" s="24"/>
    </row>
    <row r="708" spans="2:9">
      <c r="B708" s="26"/>
      <c r="C708" s="27"/>
      <c r="D708" s="23">
        <v>1103</v>
      </c>
      <c r="E708" s="27"/>
      <c r="F708" s="27"/>
      <c r="G708" s="26"/>
      <c r="H708" s="24"/>
      <c r="I708" s="24"/>
    </row>
    <row r="709" spans="2:9">
      <c r="B709" s="26" t="s">
        <v>437</v>
      </c>
      <c r="C709" s="27"/>
      <c r="D709" s="27"/>
      <c r="E709" s="27"/>
      <c r="F709" s="27"/>
      <c r="G709" s="27"/>
      <c r="H709" s="24"/>
      <c r="I709" s="24"/>
    </row>
    <row r="710" spans="2:9">
      <c r="B710" s="26"/>
      <c r="C710" s="27"/>
      <c r="D710" s="23">
        <v>1147</v>
      </c>
      <c r="E710" s="27"/>
      <c r="F710" s="27"/>
      <c r="G710" s="26"/>
      <c r="H710" s="24"/>
      <c r="I710" s="24"/>
    </row>
    <row r="711" spans="2:9">
      <c r="B711" s="26" t="s">
        <v>438</v>
      </c>
      <c r="C711" s="27"/>
      <c r="D711" s="27"/>
      <c r="E711" s="27"/>
      <c r="F711" s="27"/>
      <c r="G711" s="27"/>
      <c r="H711" s="24"/>
      <c r="I711" s="24"/>
    </row>
    <row r="712" spans="2:9">
      <c r="B712" s="26"/>
      <c r="C712" s="27"/>
      <c r="D712" s="23">
        <v>1191</v>
      </c>
      <c r="E712" s="27"/>
      <c r="F712" s="27"/>
      <c r="G712" s="26"/>
      <c r="H712" s="24"/>
      <c r="I712" s="24"/>
    </row>
    <row r="713" spans="2:9">
      <c r="B713" s="26" t="s">
        <v>439</v>
      </c>
      <c r="C713" s="27"/>
      <c r="D713" s="27"/>
      <c r="E713" s="27"/>
      <c r="F713" s="27"/>
      <c r="G713" s="27"/>
      <c r="H713" s="24"/>
      <c r="I713" s="24"/>
    </row>
    <row r="714" spans="2:9">
      <c r="B714" s="26"/>
      <c r="C714" s="27"/>
      <c r="D714" s="23">
        <v>1235</v>
      </c>
      <c r="E714" s="27"/>
      <c r="F714" s="27"/>
      <c r="G714" s="26"/>
      <c r="H714" s="24"/>
      <c r="I714" s="24"/>
    </row>
    <row r="715" spans="2:9">
      <c r="B715" s="26"/>
      <c r="C715" s="27"/>
      <c r="E715" s="27"/>
      <c r="F715" s="27"/>
      <c r="G715" s="26"/>
      <c r="H715" s="24"/>
      <c r="I715" s="24"/>
    </row>
    <row r="716" spans="2:9">
      <c r="B716" s="26"/>
      <c r="C716" s="27"/>
      <c r="E716" s="27"/>
      <c r="F716" s="27"/>
      <c r="G716" s="26"/>
      <c r="H716" s="24"/>
      <c r="I716" s="24"/>
    </row>
    <row r="717" spans="2:9">
      <c r="B717" s="26"/>
      <c r="C717" s="27"/>
      <c r="E717" s="27"/>
      <c r="F717" s="27"/>
      <c r="G717" s="26"/>
      <c r="H717" s="24"/>
      <c r="I717" s="24"/>
    </row>
    <row r="718" spans="2:9">
      <c r="B718" s="26" t="s">
        <v>1921</v>
      </c>
      <c r="C718" s="27"/>
      <c r="D718" s="27">
        <v>1278</v>
      </c>
      <c r="E718" s="27"/>
      <c r="G718" s="24"/>
      <c r="H718" s="24"/>
      <c r="I718" s="24"/>
    </row>
  </sheetData>
  <mergeCells count="2">
    <mergeCell ref="B27:B31"/>
    <mergeCell ref="A3:D9"/>
  </mergeCells>
  <pageMargins left="0.75" right="0.75" top="1" bottom="1" header="0.51111111111111096" footer="0.51111111111111096"/>
  <pageSetup orientation="portrait" horizontalDpi="300" verticalDpi="300"/>
  <headerFooter scaleWithDoc="0"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8"/>
  <sheetViews>
    <sheetView workbookViewId="0">
      <selection activeCell="D54" sqref="D54"/>
    </sheetView>
  </sheetViews>
  <sheetFormatPr defaultColWidth="9.109375" defaultRowHeight="13.2"/>
  <cols>
    <col min="1" max="1" width="24.44140625" style="2" customWidth="1"/>
    <col min="2" max="2" width="17.6640625" style="2" customWidth="1"/>
    <col min="3" max="3" width="26" style="2" customWidth="1"/>
    <col min="4" max="4" width="27.109375" style="3" customWidth="1"/>
    <col min="5" max="5" width="31.21875" style="4" customWidth="1"/>
  </cols>
  <sheetData>
    <row r="1" spans="1:5" ht="15">
      <c r="A1" s="590"/>
      <c r="B1" s="590"/>
    </row>
    <row r="2" spans="1:5" ht="15">
      <c r="A2" s="591" t="s">
        <v>1922</v>
      </c>
      <c r="B2" s="591"/>
      <c r="C2" s="591"/>
      <c r="D2" s="591"/>
      <c r="E2" s="591"/>
    </row>
    <row r="4" spans="1:5" ht="15">
      <c r="A4" s="591" t="s">
        <v>1923</v>
      </c>
      <c r="B4" s="591"/>
      <c r="C4" s="591"/>
      <c r="D4" s="591"/>
      <c r="E4" s="591"/>
    </row>
    <row r="6" spans="1:5" ht="15">
      <c r="A6" s="7" t="s">
        <v>110</v>
      </c>
      <c r="B6" s="7" t="s">
        <v>111</v>
      </c>
      <c r="C6" s="8" t="s">
        <v>112</v>
      </c>
      <c r="D6" s="9" t="s">
        <v>113</v>
      </c>
      <c r="E6" s="5"/>
    </row>
    <row r="7" spans="1:5">
      <c r="A7" s="2">
        <v>0</v>
      </c>
      <c r="B7" s="2">
        <v>1</v>
      </c>
      <c r="C7" s="2" t="s">
        <v>114</v>
      </c>
      <c r="D7" s="3" t="s">
        <v>115</v>
      </c>
    </row>
    <row r="8" spans="1:5" ht="22.8">
      <c r="A8" s="2">
        <f t="shared" ref="A8:A14" si="0">A7+B7</f>
        <v>1</v>
      </c>
      <c r="B8" s="2">
        <v>1</v>
      </c>
      <c r="C8" s="2" t="s">
        <v>116</v>
      </c>
      <c r="D8" s="3" t="s">
        <v>117</v>
      </c>
    </row>
    <row r="9" spans="1:5">
      <c r="A9" s="2">
        <f t="shared" si="0"/>
        <v>2</v>
      </c>
      <c r="B9" s="2">
        <v>1</v>
      </c>
      <c r="C9" s="2" t="s">
        <v>770</v>
      </c>
      <c r="D9" s="3" t="s">
        <v>1924</v>
      </c>
    </row>
    <row r="10" spans="1:5">
      <c r="A10" s="2">
        <f t="shared" si="0"/>
        <v>3</v>
      </c>
      <c r="B10" s="2">
        <v>1</v>
      </c>
      <c r="C10" s="10" t="s">
        <v>645</v>
      </c>
      <c r="D10" s="3" t="s">
        <v>1925</v>
      </c>
      <c r="E10" s="11"/>
    </row>
    <row r="11" spans="1:5" ht="22.8">
      <c r="A11" s="2">
        <f t="shared" si="0"/>
        <v>4</v>
      </c>
      <c r="B11" s="2">
        <v>2</v>
      </c>
      <c r="C11" s="12" t="s">
        <v>121</v>
      </c>
      <c r="D11" s="3" t="s">
        <v>122</v>
      </c>
    </row>
    <row r="12" spans="1:5" ht="34.200000000000003">
      <c r="A12" s="2">
        <f t="shared" si="0"/>
        <v>6</v>
      </c>
      <c r="B12" s="2">
        <v>4</v>
      </c>
      <c r="C12" s="2" t="s">
        <v>129</v>
      </c>
      <c r="D12" s="3" t="s">
        <v>130</v>
      </c>
    </row>
    <row r="13" spans="1:5">
      <c r="A13" s="2">
        <f t="shared" si="0"/>
        <v>10</v>
      </c>
      <c r="B13" s="2">
        <v>1</v>
      </c>
      <c r="C13" s="2" t="s">
        <v>131</v>
      </c>
      <c r="D13" s="3" t="s">
        <v>132</v>
      </c>
    </row>
    <row r="14" spans="1:5">
      <c r="A14" s="2">
        <f t="shared" si="0"/>
        <v>11</v>
      </c>
      <c r="C14" s="12"/>
    </row>
    <row r="15" spans="1:5" ht="15">
      <c r="A15" s="590"/>
      <c r="B15" s="590"/>
      <c r="C15" s="12"/>
    </row>
    <row r="16" spans="1:5" ht="15">
      <c r="A16" s="591" t="s">
        <v>1351</v>
      </c>
      <c r="B16" s="591"/>
      <c r="C16" s="591"/>
      <c r="D16" s="591"/>
      <c r="E16" s="591"/>
    </row>
    <row r="17" spans="1:5" ht="15">
      <c r="A17" s="6"/>
      <c r="B17" s="6"/>
      <c r="C17" s="6"/>
      <c r="D17" s="13"/>
    </row>
    <row r="18" spans="1:5" ht="15">
      <c r="A18" s="591" t="s">
        <v>1926</v>
      </c>
      <c r="B18" s="591"/>
      <c r="C18" s="591"/>
      <c r="D18" s="591"/>
      <c r="E18" s="591"/>
    </row>
    <row r="20" spans="1:5">
      <c r="A20" s="14" t="s">
        <v>110</v>
      </c>
      <c r="B20" s="15" t="s">
        <v>111</v>
      </c>
      <c r="C20" s="16" t="s">
        <v>112</v>
      </c>
      <c r="D20" s="11" t="s">
        <v>113</v>
      </c>
      <c r="E20" s="17"/>
    </row>
    <row r="21" spans="1:5">
      <c r="A21" s="15">
        <v>0</v>
      </c>
      <c r="B21" s="15">
        <v>1</v>
      </c>
      <c r="C21" s="15" t="s">
        <v>135</v>
      </c>
      <c r="D21" s="3" t="s">
        <v>115</v>
      </c>
      <c r="E21" s="18"/>
    </row>
    <row r="22" spans="1:5">
      <c r="A22" s="15">
        <f t="shared" ref="A22:A58" si="1">A21+B21</f>
        <v>1</v>
      </c>
      <c r="B22" s="15">
        <v>1</v>
      </c>
      <c r="C22" s="15" t="s">
        <v>116</v>
      </c>
      <c r="E22" s="18"/>
    </row>
    <row r="23" spans="1:5">
      <c r="A23" s="15">
        <f t="shared" si="1"/>
        <v>2</v>
      </c>
      <c r="B23" s="15">
        <v>1</v>
      </c>
      <c r="C23" s="2" t="s">
        <v>770</v>
      </c>
      <c r="E23" s="18"/>
    </row>
    <row r="24" spans="1:5">
      <c r="A24" s="15">
        <f t="shared" si="1"/>
        <v>3</v>
      </c>
      <c r="B24" s="15">
        <v>3</v>
      </c>
      <c r="C24" s="10" t="s">
        <v>645</v>
      </c>
      <c r="D24" s="19"/>
      <c r="E24" s="11"/>
    </row>
    <row r="25" spans="1:5" ht="22.8">
      <c r="A25" s="15">
        <f t="shared" si="1"/>
        <v>6</v>
      </c>
      <c r="B25" s="2">
        <v>2</v>
      </c>
      <c r="C25" s="12" t="s">
        <v>121</v>
      </c>
      <c r="D25" s="3" t="s">
        <v>122</v>
      </c>
      <c r="E25" s="11"/>
    </row>
    <row r="26" spans="1:5" ht="34.200000000000003">
      <c r="A26" s="15">
        <f t="shared" si="1"/>
        <v>8</v>
      </c>
      <c r="B26" s="2">
        <v>1</v>
      </c>
      <c r="C26" s="12" t="s">
        <v>1324</v>
      </c>
      <c r="D26" s="488" t="s">
        <v>1927</v>
      </c>
      <c r="E26" s="11"/>
    </row>
    <row r="27" spans="1:5">
      <c r="A27" s="15">
        <f t="shared" si="1"/>
        <v>9</v>
      </c>
      <c r="B27" s="17"/>
      <c r="C27" s="20" t="s">
        <v>1928</v>
      </c>
      <c r="E27" s="18"/>
    </row>
    <row r="28" spans="1:5">
      <c r="A28" s="15">
        <f t="shared" si="1"/>
        <v>9</v>
      </c>
      <c r="B28" s="15">
        <v>2</v>
      </c>
      <c r="C28" s="15" t="s">
        <v>206</v>
      </c>
      <c r="D28" s="3" t="s">
        <v>1929</v>
      </c>
      <c r="E28" s="18"/>
    </row>
    <row r="29" spans="1:5">
      <c r="A29" s="15">
        <f t="shared" si="1"/>
        <v>11</v>
      </c>
      <c r="B29" s="15">
        <v>2</v>
      </c>
      <c r="C29" s="17" t="s">
        <v>1930</v>
      </c>
      <c r="D29" s="3" t="s">
        <v>1929</v>
      </c>
      <c r="E29" s="18"/>
    </row>
    <row r="30" spans="1:5">
      <c r="A30" s="15">
        <f t="shared" si="1"/>
        <v>13</v>
      </c>
      <c r="B30" s="15">
        <v>2</v>
      </c>
      <c r="C30" s="21" t="s">
        <v>1931</v>
      </c>
      <c r="D30" s="3" t="s">
        <v>1929</v>
      </c>
      <c r="E30" s="18"/>
    </row>
    <row r="31" spans="1:5">
      <c r="A31" s="15">
        <f t="shared" si="1"/>
        <v>15</v>
      </c>
      <c r="B31" s="15">
        <v>2</v>
      </c>
      <c r="C31" s="21" t="s">
        <v>1932</v>
      </c>
      <c r="D31" s="3" t="s">
        <v>1929</v>
      </c>
      <c r="E31" s="18"/>
    </row>
    <row r="32" spans="1:5">
      <c r="A32" s="15">
        <f t="shared" si="1"/>
        <v>17</v>
      </c>
      <c r="B32" s="15">
        <v>2</v>
      </c>
      <c r="C32" s="17" t="s">
        <v>1933</v>
      </c>
      <c r="D32" s="3" t="s">
        <v>1929</v>
      </c>
      <c r="E32" s="18"/>
    </row>
    <row r="33" spans="1:5">
      <c r="A33" s="15">
        <f t="shared" si="1"/>
        <v>19</v>
      </c>
      <c r="B33" s="17">
        <v>10</v>
      </c>
      <c r="C33" s="21" t="s">
        <v>346</v>
      </c>
      <c r="D33" s="488" t="s">
        <v>1257</v>
      </c>
      <c r="E33" s="18"/>
    </row>
    <row r="34" spans="1:5">
      <c r="A34" s="15">
        <f t="shared" si="1"/>
        <v>29</v>
      </c>
      <c r="B34" s="17"/>
      <c r="C34" s="20" t="s">
        <v>1934</v>
      </c>
      <c r="E34" s="18"/>
    </row>
    <row r="35" spans="1:5">
      <c r="A35" s="15">
        <f t="shared" si="1"/>
        <v>29</v>
      </c>
      <c r="B35" s="15">
        <v>2</v>
      </c>
      <c r="C35" s="15" t="s">
        <v>206</v>
      </c>
      <c r="D35" s="3" t="s">
        <v>1929</v>
      </c>
      <c r="E35" s="18"/>
    </row>
    <row r="36" spans="1:5">
      <c r="A36" s="15">
        <f t="shared" si="1"/>
        <v>31</v>
      </c>
      <c r="B36" s="15">
        <v>2</v>
      </c>
      <c r="C36" s="17" t="s">
        <v>1930</v>
      </c>
      <c r="D36" s="3" t="s">
        <v>1929</v>
      </c>
      <c r="E36" s="18"/>
    </row>
    <row r="37" spans="1:5">
      <c r="A37" s="15">
        <f t="shared" si="1"/>
        <v>33</v>
      </c>
      <c r="B37" s="15">
        <v>2</v>
      </c>
      <c r="C37" s="21" t="s">
        <v>1931</v>
      </c>
      <c r="D37" s="3" t="s">
        <v>1929</v>
      </c>
      <c r="E37" s="18"/>
    </row>
    <row r="38" spans="1:5">
      <c r="A38" s="15">
        <f t="shared" si="1"/>
        <v>35</v>
      </c>
      <c r="B38" s="15">
        <v>2</v>
      </c>
      <c r="C38" s="21" t="s">
        <v>1932</v>
      </c>
      <c r="D38" s="3" t="s">
        <v>1929</v>
      </c>
      <c r="E38" s="18"/>
    </row>
    <row r="39" spans="1:5">
      <c r="A39" s="15">
        <f t="shared" si="1"/>
        <v>37</v>
      </c>
      <c r="B39" s="15">
        <v>2</v>
      </c>
      <c r="C39" s="17" t="s">
        <v>1933</v>
      </c>
      <c r="D39" s="3" t="s">
        <v>1929</v>
      </c>
      <c r="E39" s="18"/>
    </row>
    <row r="40" spans="1:5">
      <c r="A40" s="15">
        <f t="shared" si="1"/>
        <v>39</v>
      </c>
      <c r="B40" s="17">
        <v>10</v>
      </c>
      <c r="C40" s="21" t="s">
        <v>346</v>
      </c>
      <c r="D40" s="488" t="s">
        <v>1257</v>
      </c>
      <c r="E40" s="18"/>
    </row>
    <row r="41" spans="1:5">
      <c r="A41" s="15">
        <f t="shared" si="1"/>
        <v>49</v>
      </c>
      <c r="B41" s="17"/>
      <c r="C41" s="20" t="s">
        <v>1935</v>
      </c>
      <c r="E41" s="18"/>
    </row>
    <row r="42" spans="1:5">
      <c r="A42" s="15">
        <f t="shared" si="1"/>
        <v>49</v>
      </c>
      <c r="B42" s="15">
        <v>2</v>
      </c>
      <c r="C42" s="15" t="s">
        <v>206</v>
      </c>
      <c r="D42" s="3" t="s">
        <v>1929</v>
      </c>
      <c r="E42" s="18"/>
    </row>
    <row r="43" spans="1:5">
      <c r="A43" s="15">
        <f t="shared" si="1"/>
        <v>51</v>
      </c>
      <c r="B43" s="15">
        <v>2</v>
      </c>
      <c r="C43" s="17" t="s">
        <v>1930</v>
      </c>
      <c r="D43" s="3" t="s">
        <v>1929</v>
      </c>
      <c r="E43" s="18"/>
    </row>
    <row r="44" spans="1:5">
      <c r="A44" s="15">
        <f t="shared" si="1"/>
        <v>53</v>
      </c>
      <c r="B44" s="15">
        <v>2</v>
      </c>
      <c r="C44" s="21" t="s">
        <v>1931</v>
      </c>
      <c r="D44" s="3" t="s">
        <v>1929</v>
      </c>
      <c r="E44" s="18"/>
    </row>
    <row r="45" spans="1:5">
      <c r="A45" s="15">
        <f t="shared" si="1"/>
        <v>55</v>
      </c>
      <c r="B45" s="15">
        <v>2</v>
      </c>
      <c r="C45" s="21" t="s">
        <v>1932</v>
      </c>
      <c r="D45" s="3" t="s">
        <v>1929</v>
      </c>
      <c r="E45" s="18"/>
    </row>
    <row r="46" spans="1:5">
      <c r="A46" s="15">
        <f t="shared" si="1"/>
        <v>57</v>
      </c>
      <c r="B46" s="15">
        <v>2</v>
      </c>
      <c r="C46" s="17" t="s">
        <v>1933</v>
      </c>
      <c r="D46" s="3" t="s">
        <v>1929</v>
      </c>
      <c r="E46" s="18"/>
    </row>
    <row r="47" spans="1:5">
      <c r="A47" s="15">
        <f t="shared" si="1"/>
        <v>59</v>
      </c>
      <c r="B47" s="17">
        <v>10</v>
      </c>
      <c r="C47" s="21" t="s">
        <v>346</v>
      </c>
      <c r="D47" s="488" t="s">
        <v>1257</v>
      </c>
      <c r="E47" s="18"/>
    </row>
    <row r="48" spans="1:5">
      <c r="A48" s="15">
        <f t="shared" si="1"/>
        <v>69</v>
      </c>
      <c r="B48" s="17"/>
      <c r="C48" s="20" t="s">
        <v>1936</v>
      </c>
      <c r="E48" s="18"/>
    </row>
    <row r="49" spans="1:5">
      <c r="A49" s="15">
        <f t="shared" si="1"/>
        <v>69</v>
      </c>
      <c r="B49" s="15">
        <v>2</v>
      </c>
      <c r="C49" s="15" t="s">
        <v>206</v>
      </c>
      <c r="D49" s="3" t="s">
        <v>1929</v>
      </c>
      <c r="E49" s="18"/>
    </row>
    <row r="50" spans="1:5">
      <c r="A50" s="15">
        <f t="shared" si="1"/>
        <v>71</v>
      </c>
      <c r="B50" s="15">
        <v>2</v>
      </c>
      <c r="C50" s="17" t="s">
        <v>1930</v>
      </c>
      <c r="D50" s="3" t="s">
        <v>1929</v>
      </c>
      <c r="E50" s="18"/>
    </row>
    <row r="51" spans="1:5">
      <c r="A51" s="15">
        <f t="shared" si="1"/>
        <v>73</v>
      </c>
      <c r="B51" s="15">
        <v>2</v>
      </c>
      <c r="C51" s="21" t="s">
        <v>1931</v>
      </c>
      <c r="D51" s="3" t="s">
        <v>1929</v>
      </c>
      <c r="E51" s="18"/>
    </row>
    <row r="52" spans="1:5">
      <c r="A52" s="15">
        <f t="shared" si="1"/>
        <v>75</v>
      </c>
      <c r="B52" s="15">
        <v>2</v>
      </c>
      <c r="C52" s="21" t="s">
        <v>1932</v>
      </c>
      <c r="D52" s="3" t="s">
        <v>1929</v>
      </c>
      <c r="E52" s="18"/>
    </row>
    <row r="53" spans="1:5">
      <c r="A53" s="15">
        <f t="shared" si="1"/>
        <v>77</v>
      </c>
      <c r="B53" s="15">
        <v>2</v>
      </c>
      <c r="C53" s="17" t="s">
        <v>1933</v>
      </c>
      <c r="D53" s="3" t="s">
        <v>1929</v>
      </c>
      <c r="E53" s="18"/>
    </row>
    <row r="54" spans="1:5">
      <c r="A54" s="15">
        <f t="shared" si="1"/>
        <v>79</v>
      </c>
      <c r="B54" s="17">
        <v>10</v>
      </c>
      <c r="C54" s="21" t="s">
        <v>346</v>
      </c>
      <c r="D54" s="488" t="s">
        <v>1257</v>
      </c>
      <c r="E54" s="18"/>
    </row>
    <row r="55" spans="1:5">
      <c r="A55" s="15">
        <f t="shared" si="1"/>
        <v>89</v>
      </c>
      <c r="B55" s="17">
        <v>200</v>
      </c>
      <c r="C55" s="21" t="s">
        <v>346</v>
      </c>
      <c r="D55" s="488" t="s">
        <v>1257</v>
      </c>
      <c r="E55" s="18"/>
    </row>
    <row r="56" spans="1:5" ht="45.6">
      <c r="A56" s="15">
        <f t="shared" si="1"/>
        <v>289</v>
      </c>
      <c r="B56" s="17">
        <v>4</v>
      </c>
      <c r="C56" s="17" t="s">
        <v>129</v>
      </c>
      <c r="D56" s="3" t="s">
        <v>485</v>
      </c>
      <c r="E56" s="18"/>
    </row>
    <row r="57" spans="1:5">
      <c r="A57" s="15">
        <f t="shared" si="1"/>
        <v>293</v>
      </c>
      <c r="B57" s="17">
        <v>1</v>
      </c>
      <c r="C57" s="17" t="s">
        <v>131</v>
      </c>
      <c r="D57" s="3" t="s">
        <v>132</v>
      </c>
      <c r="E57" s="18"/>
    </row>
    <row r="58" spans="1:5">
      <c r="A58" s="15">
        <f t="shared" si="1"/>
        <v>294</v>
      </c>
      <c r="B58" s="22" t="s">
        <v>486</v>
      </c>
      <c r="C58" s="17"/>
      <c r="E58" s="18"/>
    </row>
  </sheetData>
  <mergeCells count="6">
    <mergeCell ref="A18:E18"/>
    <mergeCell ref="A1:B1"/>
    <mergeCell ref="A2:E2"/>
    <mergeCell ref="A4:E4"/>
    <mergeCell ref="A15:B15"/>
    <mergeCell ref="A16:E16"/>
  </mergeCells>
  <pageMargins left="0.69861111111111096" right="0.69861111111111096" top="0.75" bottom="0.75" header="0.3" footer="0.3"/>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Revision</vt:lpstr>
      <vt:lpstr>Communication Sequence</vt:lpstr>
      <vt:lpstr>IVRF Engineering Frame</vt:lpstr>
      <vt:lpstr>IVRF User Frame</vt:lpstr>
      <vt:lpstr>IVRF ODU Parameters</vt:lpstr>
      <vt:lpstr>IVRF ODU Parameters 147 bytes</vt:lpstr>
      <vt:lpstr>IDU Parameters</vt:lpstr>
      <vt:lpstr>IVRF Configuration Download</vt:lpstr>
      <vt:lpstr>IVRF Configuration Upload</vt:lpstr>
      <vt:lpstr>ODUm-ODUs Communication</vt:lpstr>
      <vt:lpstr>ODU-IDU Communication</vt:lpstr>
      <vt:lpstr>IVRF Slave ODU Parameters</vt:lpstr>
      <vt:lpstr>Slave Config Download</vt:lpstr>
      <vt:lpstr>Slave Config Upload</vt:lpstr>
      <vt:lpstr>Set IDU Parameters</vt:lpstr>
      <vt:lpstr>IDU Config Download</vt:lpstr>
      <vt:lpstr>IDU Config Upload</vt:lpstr>
      <vt:lpstr>Auto Addressing</vt:lpstr>
      <vt:lpstr>Start of BL Session</vt:lpstr>
      <vt:lpstr>Block Programming</vt:lpstr>
      <vt:lpstr>BL Status Polling</vt:lpstr>
      <vt:lpstr>End of BL Session</vt:lpstr>
      <vt:lpstr>DC, Moddbus, DA Config </vt:lpstr>
      <vt:lpstr>Date Time Config in DA</vt:lpstr>
      <vt:lpstr>Data Acq Communication</vt:lpstr>
      <vt:lpstr>IVRF Error Logging</vt:lpstr>
      <vt:lpstr>ODU Config</vt:lpstr>
      <vt:lpstr>DVRF Slave ODU Parameters</vt:lpstr>
      <vt:lpstr>DVRF User Frame</vt:lpstr>
      <vt:lpstr>DVRF Engineering Frame</vt:lpstr>
      <vt:lpstr>DVRF ODU Parameters</vt:lpstr>
      <vt:lpstr>MVRF Engineering Frame</vt:lpstr>
      <vt:lpstr>MVRF ODU Parameters</vt:lpstr>
      <vt:lpstr>MVRF Configuration Download</vt:lpstr>
      <vt:lpstr>MVRF Configuration Upload</vt:lpstr>
      <vt:lpstr>PC-ODU Interaction Algorithm</vt:lpstr>
      <vt:lpstr>Miscellaneous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sajoshi</dc:creator>
  <cp:lastModifiedBy>Saksham Begad</cp:lastModifiedBy>
  <cp:revision>2</cp:revision>
  <cp:lastPrinted>2011-10-20T09:52:00Z</cp:lastPrinted>
  <dcterms:created xsi:type="dcterms:W3CDTF">2011-06-01T09:26:00Z</dcterms:created>
  <dcterms:modified xsi:type="dcterms:W3CDTF">2026-05-28T05:49:07Z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591AD4657C464D2FAA1E3709AD607021_13</vt:lpwstr>
  </property>
</Properties>
</file>